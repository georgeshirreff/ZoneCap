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RREFFEX\Documents\ZoneCap\ATIH\"/>
    </mc:Choice>
  </mc:AlternateContent>
  <xr:revisionPtr revIDLastSave="0" documentId="13_ncr:1_{83D9F266-71C8-4533-B9FD-3FBE62183ED1}" xr6:coauthVersionLast="47" xr6:coauthVersionMax="47" xr10:uidLastSave="{00000000-0000-0000-0000-000000000000}"/>
  <bookViews>
    <workbookView xWindow="-110" yWindow="-110" windowWidth="19420" windowHeight="11500" activeTab="4" xr2:uid="{C6AF712B-BB01-45D5-BF6F-AC0654FACC89}"/>
  </bookViews>
  <sheets>
    <sheet name="FINESS" sheetId="3" r:id="rId1"/>
    <sheet name="Geo" sheetId="7" r:id="rId2"/>
    <sheet name="DiagCat" sheetId="6" r:id="rId3"/>
    <sheet name="FIRESP ages" sheetId="5" r:id="rId4"/>
    <sheet name="FIRESP zero" sheetId="9" r:id="rId5"/>
    <sheet name="RegHCL" sheetId="8" r:id="rId6"/>
  </sheets>
  <definedNames>
    <definedName name="_xlnm._FilterDatabase" localSheetId="0" hidden="1">FINESS!$A$1:$J$121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9" l="1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2" i="9"/>
  <c r="I13" i="8"/>
  <c r="I14" i="8"/>
  <c r="I15" i="8"/>
  <c r="I16" i="8"/>
  <c r="I17" i="8"/>
  <c r="I18" i="8"/>
  <c r="I19" i="8"/>
  <c r="I20" i="8"/>
  <c r="I21" i="8"/>
  <c r="I12" i="8"/>
  <c r="I11" i="8"/>
  <c r="I10" i="8"/>
  <c r="I9" i="8"/>
  <c r="I8" i="8"/>
  <c r="I7" i="8"/>
  <c r="I6" i="8"/>
  <c r="I5" i="8"/>
  <c r="I4" i="8"/>
  <c r="I3" i="8"/>
  <c r="I2" i="8"/>
  <c r="I40" i="7"/>
  <c r="I38" i="7"/>
  <c r="I36" i="7"/>
  <c r="I34" i="7"/>
  <c r="I32" i="7"/>
  <c r="I30" i="7"/>
  <c r="I28" i="7"/>
  <c r="I26" i="7"/>
  <c r="I24" i="7"/>
  <c r="I22" i="7"/>
  <c r="I41" i="7"/>
  <c r="I39" i="7"/>
  <c r="I37" i="7"/>
  <c r="I35" i="7"/>
  <c r="I33" i="7"/>
  <c r="I31" i="7"/>
  <c r="I29" i="7"/>
  <c r="I27" i="7"/>
  <c r="I25" i="7"/>
  <c r="I23" i="7"/>
  <c r="I20" i="7"/>
  <c r="I18" i="7"/>
  <c r="I16" i="7"/>
  <c r="I14" i="7"/>
  <c r="I12" i="7"/>
  <c r="I10" i="7"/>
  <c r="I8" i="7"/>
  <c r="I6" i="7"/>
  <c r="I4" i="7"/>
  <c r="I2" i="7"/>
  <c r="I43" i="5"/>
  <c r="I205" i="5"/>
  <c r="I103" i="5"/>
  <c r="I203" i="5"/>
  <c r="I101" i="5"/>
  <c r="I201" i="5"/>
  <c r="I99" i="5"/>
  <c r="I199" i="5"/>
  <c r="I97" i="5"/>
  <c r="I197" i="5"/>
  <c r="I95" i="5"/>
  <c r="I195" i="5"/>
  <c r="I93" i="5"/>
  <c r="I193" i="5"/>
  <c r="I91" i="5"/>
  <c r="I188" i="5"/>
  <c r="I86" i="5"/>
  <c r="I186" i="5"/>
  <c r="I84" i="5"/>
  <c r="I184" i="5"/>
  <c r="I82" i="5"/>
  <c r="I182" i="5"/>
  <c r="I80" i="5"/>
  <c r="I180" i="5"/>
  <c r="I78" i="5"/>
  <c r="I178" i="5"/>
  <c r="I76" i="5"/>
  <c r="I176" i="5"/>
  <c r="I74" i="5"/>
  <c r="I171" i="5"/>
  <c r="I69" i="5"/>
  <c r="I169" i="5"/>
  <c r="I67" i="5"/>
  <c r="I167" i="5"/>
  <c r="I65" i="5"/>
  <c r="I165" i="5"/>
  <c r="I63" i="5"/>
  <c r="I163" i="5"/>
  <c r="I61" i="5"/>
  <c r="I161" i="5"/>
  <c r="I59" i="5"/>
  <c r="I159" i="5"/>
  <c r="I57" i="5"/>
  <c r="I154" i="5"/>
  <c r="I52" i="5"/>
  <c r="I152" i="5"/>
  <c r="I50" i="5"/>
  <c r="I150" i="5"/>
  <c r="I48" i="5"/>
  <c r="I148" i="5"/>
  <c r="I46" i="5"/>
  <c r="I146" i="5"/>
  <c r="I44" i="5"/>
  <c r="I144" i="5"/>
  <c r="I42" i="5"/>
  <c r="I142" i="5"/>
  <c r="I40" i="5"/>
  <c r="I137" i="5"/>
  <c r="I35" i="5"/>
  <c r="I135" i="5"/>
  <c r="I33" i="5"/>
  <c r="I133" i="5"/>
  <c r="I31" i="5"/>
  <c r="I131" i="5"/>
  <c r="I29" i="5"/>
  <c r="I129" i="5"/>
  <c r="I27" i="5"/>
  <c r="I127" i="5"/>
  <c r="I25" i="5"/>
  <c r="I125" i="5"/>
  <c r="I23" i="5"/>
  <c r="I120" i="5"/>
  <c r="I18" i="5"/>
  <c r="I118" i="5"/>
  <c r="I16" i="5"/>
  <c r="I116" i="5"/>
  <c r="I14" i="5"/>
  <c r="I114" i="5"/>
  <c r="I12" i="5"/>
  <c r="I112" i="5"/>
  <c r="I10" i="5"/>
  <c r="I110" i="5"/>
  <c r="I8" i="5"/>
  <c r="I108" i="5"/>
  <c r="I6" i="5"/>
  <c r="I102" i="5"/>
  <c r="I100" i="5"/>
  <c r="I98" i="5"/>
  <c r="I96" i="5"/>
  <c r="I94" i="5"/>
  <c r="I92" i="5"/>
  <c r="I90" i="5"/>
  <c r="I89" i="5"/>
  <c r="I88" i="5"/>
  <c r="I87" i="5"/>
  <c r="I85" i="5"/>
  <c r="I83" i="5"/>
  <c r="I81" i="5"/>
  <c r="I79" i="5"/>
  <c r="I77" i="5"/>
  <c r="I75" i="5"/>
  <c r="I73" i="5"/>
  <c r="I72" i="5"/>
  <c r="I71" i="5"/>
  <c r="I70" i="5"/>
  <c r="I68" i="5"/>
  <c r="I66" i="5"/>
  <c r="I64" i="5"/>
  <c r="I62" i="5"/>
  <c r="I60" i="5"/>
  <c r="I58" i="5"/>
  <c r="I56" i="5"/>
  <c r="I55" i="5"/>
  <c r="I54" i="5"/>
  <c r="I53" i="5"/>
  <c r="I51" i="5"/>
  <c r="I49" i="5"/>
  <c r="I47" i="5"/>
  <c r="I45" i="5"/>
  <c r="I41" i="5"/>
  <c r="I39" i="5"/>
  <c r="I38" i="5"/>
  <c r="I37" i="5"/>
  <c r="I36" i="5"/>
  <c r="I34" i="5"/>
  <c r="I32" i="5"/>
  <c r="I30" i="5"/>
  <c r="I28" i="5"/>
  <c r="I26" i="5"/>
  <c r="I24" i="5"/>
  <c r="I22" i="5"/>
  <c r="I21" i="5"/>
  <c r="I20" i="5"/>
  <c r="I19" i="5"/>
  <c r="I17" i="5"/>
  <c r="I15" i="5"/>
  <c r="I13" i="5"/>
  <c r="I11" i="5"/>
  <c r="I9" i="5"/>
  <c r="I7" i="5"/>
  <c r="I5" i="5"/>
  <c r="I4" i="5"/>
  <c r="I3" i="5"/>
  <c r="I2" i="5"/>
  <c r="I20" i="6"/>
  <c r="I18" i="6"/>
  <c r="I16" i="6"/>
  <c r="I14" i="6"/>
  <c r="I12" i="6"/>
  <c r="I10" i="6"/>
  <c r="I8" i="6"/>
  <c r="I6" i="6"/>
  <c r="I4" i="6"/>
  <c r="I2" i="6"/>
  <c r="I115" i="3"/>
  <c r="I114" i="3"/>
  <c r="I113" i="3"/>
  <c r="I112" i="3"/>
  <c r="I111" i="3"/>
  <c r="I110" i="3"/>
  <c r="I103" i="3"/>
  <c r="I102" i="3"/>
  <c r="I101" i="3"/>
  <c r="I100" i="3"/>
  <c r="I99" i="3"/>
  <c r="I98" i="3"/>
  <c r="I91" i="3"/>
  <c r="I90" i="3"/>
  <c r="I89" i="3"/>
  <c r="I88" i="3"/>
  <c r="I87" i="3"/>
  <c r="I86" i="3"/>
  <c r="I79" i="3"/>
  <c r="I78" i="3"/>
  <c r="I77" i="3"/>
  <c r="I76" i="3"/>
  <c r="I75" i="3"/>
  <c r="I74" i="3"/>
  <c r="I67" i="3"/>
  <c r="I66" i="3"/>
  <c r="I65" i="3"/>
  <c r="I64" i="3"/>
  <c r="I63" i="3"/>
  <c r="I62" i="3"/>
  <c r="I55" i="3"/>
  <c r="I54" i="3"/>
  <c r="I53" i="3"/>
  <c r="I52" i="3"/>
  <c r="I51" i="3"/>
  <c r="I50" i="3"/>
  <c r="I43" i="3"/>
  <c r="I42" i="3"/>
  <c r="I41" i="3"/>
  <c r="I40" i="3"/>
  <c r="I39" i="3"/>
  <c r="I38" i="3"/>
  <c r="I31" i="3"/>
  <c r="I30" i="3"/>
  <c r="I29" i="3"/>
  <c r="I28" i="3"/>
  <c r="I27" i="3"/>
  <c r="I26" i="3"/>
  <c r="I19" i="3"/>
  <c r="I18" i="3"/>
  <c r="I17" i="3"/>
  <c r="I16" i="3"/>
  <c r="I15" i="3"/>
  <c r="I14" i="3"/>
  <c r="I7" i="3"/>
  <c r="I6" i="3"/>
  <c r="I5" i="3"/>
  <c r="I4" i="3"/>
  <c r="I3" i="3"/>
  <c r="I2" i="3"/>
  <c r="I21" i="6"/>
  <c r="I19" i="6"/>
  <c r="I17" i="6"/>
  <c r="I15" i="6"/>
  <c r="I13" i="6"/>
  <c r="I11" i="6"/>
  <c r="I9" i="6"/>
  <c r="I7" i="6"/>
  <c r="I5" i="6"/>
  <c r="I3" i="6"/>
  <c r="I105" i="5"/>
  <c r="I106" i="5"/>
  <c r="I107" i="5"/>
  <c r="I109" i="5"/>
  <c r="I111" i="5"/>
  <c r="I113" i="5"/>
  <c r="I115" i="5"/>
  <c r="I117" i="5"/>
  <c r="I119" i="5"/>
  <c r="I121" i="5"/>
  <c r="I122" i="5"/>
  <c r="I123" i="5"/>
  <c r="I124" i="5"/>
  <c r="I126" i="5"/>
  <c r="I128" i="5"/>
  <c r="I130" i="5"/>
  <c r="I132" i="5"/>
  <c r="I134" i="5"/>
  <c r="I136" i="5"/>
  <c r="I138" i="5"/>
  <c r="I139" i="5"/>
  <c r="I140" i="5"/>
  <c r="I141" i="5"/>
  <c r="I143" i="5"/>
  <c r="I145" i="5"/>
  <c r="I147" i="5"/>
  <c r="I149" i="5"/>
  <c r="I151" i="5"/>
  <c r="I153" i="5"/>
  <c r="I155" i="5"/>
  <c r="I156" i="5"/>
  <c r="I157" i="5"/>
  <c r="I158" i="5"/>
  <c r="I160" i="5"/>
  <c r="I162" i="5"/>
  <c r="I164" i="5"/>
  <c r="I166" i="5"/>
  <c r="I168" i="5"/>
  <c r="I170" i="5"/>
  <c r="I172" i="5"/>
  <c r="I173" i="5"/>
  <c r="I174" i="5"/>
  <c r="I175" i="5"/>
  <c r="I177" i="5"/>
  <c r="I179" i="5"/>
  <c r="I181" i="5"/>
  <c r="I183" i="5"/>
  <c r="I185" i="5"/>
  <c r="I187" i="5"/>
  <c r="I189" i="5"/>
  <c r="I190" i="5"/>
  <c r="I191" i="5"/>
  <c r="I192" i="5"/>
  <c r="I194" i="5"/>
  <c r="I196" i="5"/>
  <c r="I198" i="5"/>
  <c r="I200" i="5"/>
  <c r="I202" i="5"/>
  <c r="I204" i="5"/>
  <c r="I104" i="5"/>
  <c r="I5" i="7"/>
  <c r="I7" i="7"/>
  <c r="I9" i="7"/>
  <c r="I11" i="7"/>
  <c r="I13" i="7"/>
  <c r="I15" i="7"/>
  <c r="I17" i="7"/>
  <c r="I19" i="7"/>
  <c r="I21" i="7"/>
  <c r="I3" i="7"/>
  <c r="I12" i="3"/>
  <c r="I10" i="3"/>
  <c r="I13" i="3"/>
  <c r="I8" i="3"/>
  <c r="I11" i="3"/>
  <c r="I21" i="3"/>
  <c r="I24" i="3"/>
  <c r="I22" i="3"/>
  <c r="I25" i="3"/>
  <c r="I20" i="3"/>
  <c r="I23" i="3"/>
  <c r="I33" i="3"/>
  <c r="I36" i="3"/>
  <c r="I34" i="3"/>
  <c r="I37" i="3"/>
  <c r="I32" i="3"/>
  <c r="I35" i="3"/>
  <c r="I45" i="3"/>
  <c r="I48" i="3"/>
  <c r="I46" i="3"/>
  <c r="I49" i="3"/>
  <c r="I44" i="3"/>
  <c r="I47" i="3"/>
  <c r="I57" i="3"/>
  <c r="I60" i="3"/>
  <c r="I58" i="3"/>
  <c r="I61" i="3"/>
  <c r="I56" i="3"/>
  <c r="I59" i="3"/>
  <c r="I69" i="3"/>
  <c r="I72" i="3"/>
  <c r="I70" i="3"/>
  <c r="I73" i="3"/>
  <c r="I68" i="3"/>
  <c r="I71" i="3"/>
  <c r="I81" i="3"/>
  <c r="I84" i="3"/>
  <c r="I82" i="3"/>
  <c r="I85" i="3"/>
  <c r="I80" i="3"/>
  <c r="I83" i="3"/>
  <c r="I93" i="3"/>
  <c r="I96" i="3"/>
  <c r="I94" i="3"/>
  <c r="I97" i="3"/>
  <c r="I92" i="3"/>
  <c r="I95" i="3"/>
  <c r="I105" i="3"/>
  <c r="I108" i="3"/>
  <c r="I106" i="3"/>
  <c r="I109" i="3"/>
  <c r="I104" i="3"/>
  <c r="I107" i="3"/>
  <c r="I117" i="3"/>
  <c r="I120" i="3"/>
  <c r="I118" i="3"/>
  <c r="I121" i="3"/>
  <c r="I116" i="3"/>
  <c r="I119" i="3"/>
  <c r="I9" i="3"/>
</calcChain>
</file>

<file path=xl/sharedStrings.xml><?xml version="1.0" encoding="utf-8"?>
<sst xmlns="http://schemas.openxmlformats.org/spreadsheetml/2006/main" count="3606" uniqueCount="52">
  <si>
    <t>Type</t>
  </si>
  <si>
    <t>Hosp Complete</t>
  </si>
  <si>
    <t>Age</t>
  </si>
  <si>
    <t>0-1</t>
  </si>
  <si>
    <t>Etablissements</t>
  </si>
  <si>
    <t>All</t>
  </si>
  <si>
    <t>2-4</t>
  </si>
  <si>
    <t>5-17</t>
  </si>
  <si>
    <t>18-64</t>
  </si>
  <si>
    <t>65-79</t>
  </si>
  <si>
    <t>80+</t>
  </si>
  <si>
    <t>Year</t>
  </si>
  <si>
    <t>Hospital resolution</t>
  </si>
  <si>
    <t>FINESS</t>
  </si>
  <si>
    <t>Patient resolution</t>
  </si>
  <si>
    <t>DEP</t>
  </si>
  <si>
    <t>PMSI</t>
  </si>
  <si>
    <t>Regions</t>
  </si>
  <si>
    <t>MET</t>
  </si>
  <si>
    <t>DOMTOM</t>
  </si>
  <si>
    <t>REG</t>
  </si>
  <si>
    <t>NoAge</t>
  </si>
  <si>
    <t>NAME</t>
  </si>
  <si>
    <t>FINESS-Geo</t>
  </si>
  <si>
    <t>FINESS-DiagCat</t>
  </si>
  <si>
    <t>SplitAge</t>
  </si>
  <si>
    <t>x</t>
  </si>
  <si>
    <t>ALL</t>
  </si>
  <si>
    <t>DiagCat</t>
  </si>
  <si>
    <t>mco_DOMTOM_2016_ALL_DEP_NoAge</t>
  </si>
  <si>
    <t>mco_DOMTOM_2016_FINESS_DEP_NoAge</t>
  </si>
  <si>
    <t>mco_DOMTOM_2017_ALL_DEP_NoAge</t>
  </si>
  <si>
    <t>mco_DOMTOM_2017_FINESS_DEP_NoAge</t>
  </si>
  <si>
    <t>mco_DOMTOM_2018_ALL_DEP_NoAge</t>
  </si>
  <si>
    <t>mco_DOMTOM_2018_FINESS_DEP_NoAge</t>
  </si>
  <si>
    <t>mco_DOMTOM_2019_ALL_DEP_NoAge</t>
  </si>
  <si>
    <t>mco_DOMTOM_2019_FINESS_DEP_NoAge</t>
  </si>
  <si>
    <t>mco_DOMTOM_2020_ALL_DEP_NoAge</t>
  </si>
  <si>
    <t>mco_DOMTOM_2020_FINESS_DEP_NoAge</t>
  </si>
  <si>
    <t>mco_DOMTOM_2021_ALL_DEP_NoAge</t>
  </si>
  <si>
    <t>mco_DOMTOM_2021_FINESS_DEP_NoAge</t>
  </si>
  <si>
    <t>mco_DOMTOM_2022_ALL_DEP_NoAge</t>
  </si>
  <si>
    <t>mco_DOMTOM_2022_FINESS_DEP_NoAge</t>
  </si>
  <si>
    <t>mco_DOMTOM_2023_ALL_DEP_NoAge</t>
  </si>
  <si>
    <t>mco_DOMTOM_2023_FINESS_DEP_NoAge</t>
  </si>
  <si>
    <t>mco_DOMTOM_2024_ALL_DEP_NoAge</t>
  </si>
  <si>
    <t>mco_DOMTOM_2024_FINESS_DEP_NoAge</t>
  </si>
  <si>
    <t>mco_DOMTOM_2025_ALL_DEP_NoAge</t>
  </si>
  <si>
    <t>mco_DOMTOM_2025_FINESS_DEP_NoAge</t>
  </si>
  <si>
    <t>HCL</t>
  </si>
  <si>
    <t>FINESSHCL</t>
  </si>
  <si>
    <t>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</si>
</sst>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9DEF7-423C-4890-A03F-59AC1EBCF564}">
  <dimension ref="A1:J141"/>
  <sheetViews>
    <sheetView workbookViewId="0">
      <pane ySplit="1" topLeftCell="A2" activePane="bottomLeft" state="frozen"/>
      <selection pane="bottomLeft" activeCell="H5" sqref="A5:H5"/>
    </sheetView>
  </sheetViews>
  <sheetFormatPr baseColWidth="10" defaultRowHeight="14.5" x14ac:dyDescent="0.35"/>
  <cols>
    <col min="6" max="6" width="17.1796875" bestFit="1" customWidth="1"/>
  </cols>
  <sheetData>
    <row r="1" spans="1:10" x14ac:dyDescent="0.35">
      <c r="A1" t="s">
        <v>0</v>
      </c>
      <c r="B1" t="s">
        <v>17</v>
      </c>
      <c r="C1" t="s">
        <v>4</v>
      </c>
      <c r="D1" t="s">
        <v>2</v>
      </c>
      <c r="E1" t="s">
        <v>11</v>
      </c>
      <c r="F1" t="s">
        <v>12</v>
      </c>
      <c r="G1" t="s">
        <v>14</v>
      </c>
      <c r="H1" t="s">
        <v>25</v>
      </c>
      <c r="I1" t="s">
        <v>22</v>
      </c>
    </row>
    <row r="2" spans="1:10" x14ac:dyDescent="0.35">
      <c r="A2" t="s">
        <v>1</v>
      </c>
      <c r="B2" t="s">
        <v>18</v>
      </c>
      <c r="C2" t="s">
        <v>5</v>
      </c>
      <c r="D2" t="s">
        <v>5</v>
      </c>
      <c r="E2">
        <v>2016</v>
      </c>
      <c r="F2" t="s">
        <v>27</v>
      </c>
      <c r="G2" t="s">
        <v>20</v>
      </c>
      <c r="H2" t="s">
        <v>21</v>
      </c>
      <c r="I2" t="str">
        <f t="shared" ref="I2:I33" si="0">"mco_"&amp;B2&amp;"_"&amp;E2&amp;"_"&amp;F2&amp;"_"&amp;G2&amp;"_"&amp;H2</f>
        <v>mco_MET_2016_ALL_REG_NoAge</v>
      </c>
      <c r="J2" t="s">
        <v>26</v>
      </c>
    </row>
    <row r="3" spans="1:10" x14ac:dyDescent="0.35">
      <c r="A3" t="s">
        <v>1</v>
      </c>
      <c r="B3" t="s">
        <v>18</v>
      </c>
      <c r="C3" t="s">
        <v>5</v>
      </c>
      <c r="D3" t="s">
        <v>5</v>
      </c>
      <c r="E3">
        <v>2016</v>
      </c>
      <c r="F3" t="s">
        <v>27</v>
      </c>
      <c r="G3" t="s">
        <v>15</v>
      </c>
      <c r="H3" t="s">
        <v>21</v>
      </c>
      <c r="I3" t="str">
        <f t="shared" si="0"/>
        <v>mco_MET_2016_ALL_DEP_NoAge</v>
      </c>
      <c r="J3" t="s">
        <v>26</v>
      </c>
    </row>
    <row r="4" spans="1:10" x14ac:dyDescent="0.35">
      <c r="A4" t="s">
        <v>1</v>
      </c>
      <c r="B4" t="s">
        <v>18</v>
      </c>
      <c r="C4" t="s">
        <v>5</v>
      </c>
      <c r="D4" t="s">
        <v>5</v>
      </c>
      <c r="E4">
        <v>2016</v>
      </c>
      <c r="F4" t="s">
        <v>27</v>
      </c>
      <c r="G4" t="s">
        <v>16</v>
      </c>
      <c r="H4" t="s">
        <v>21</v>
      </c>
      <c r="I4" t="str">
        <f t="shared" si="0"/>
        <v>mco_MET_2016_ALL_PMSI_NoAge</v>
      </c>
      <c r="J4" t="s">
        <v>26</v>
      </c>
    </row>
    <row r="5" spans="1:10" x14ac:dyDescent="0.35">
      <c r="A5" t="s">
        <v>1</v>
      </c>
      <c r="B5" t="s">
        <v>18</v>
      </c>
      <c r="C5" t="s">
        <v>5</v>
      </c>
      <c r="D5" t="s">
        <v>5</v>
      </c>
      <c r="E5">
        <v>2016</v>
      </c>
      <c r="F5" t="s">
        <v>27</v>
      </c>
      <c r="G5" t="s">
        <v>20</v>
      </c>
      <c r="H5" t="s">
        <v>2</v>
      </c>
      <c r="I5" t="str">
        <f t="shared" si="0"/>
        <v>mco_MET_2016_ALL_REG_Age</v>
      </c>
      <c r="J5" t="s">
        <v>26</v>
      </c>
    </row>
    <row r="6" spans="1:10" x14ac:dyDescent="0.35">
      <c r="A6" t="s">
        <v>1</v>
      </c>
      <c r="B6" t="s">
        <v>18</v>
      </c>
      <c r="C6" t="s">
        <v>5</v>
      </c>
      <c r="D6" t="s">
        <v>5</v>
      </c>
      <c r="E6">
        <v>2016</v>
      </c>
      <c r="F6" t="s">
        <v>27</v>
      </c>
      <c r="G6" t="s">
        <v>15</v>
      </c>
      <c r="H6" t="s">
        <v>2</v>
      </c>
      <c r="I6" t="str">
        <f t="shared" si="0"/>
        <v>mco_MET_2016_ALL_DEP_Age</v>
      </c>
      <c r="J6" t="s">
        <v>26</v>
      </c>
    </row>
    <row r="7" spans="1:10" x14ac:dyDescent="0.35">
      <c r="A7" t="s">
        <v>1</v>
      </c>
      <c r="B7" t="s">
        <v>18</v>
      </c>
      <c r="C7" t="s">
        <v>5</v>
      </c>
      <c r="D7" t="s">
        <v>5</v>
      </c>
      <c r="E7">
        <v>2016</v>
      </c>
      <c r="F7" t="s">
        <v>27</v>
      </c>
      <c r="G7" t="s">
        <v>16</v>
      </c>
      <c r="H7" t="s">
        <v>2</v>
      </c>
      <c r="I7" t="str">
        <f t="shared" si="0"/>
        <v>mco_MET_2016_ALL_PMSI_Age</v>
      </c>
      <c r="J7" t="s">
        <v>26</v>
      </c>
    </row>
    <row r="8" spans="1:10" x14ac:dyDescent="0.35">
      <c r="A8" t="s">
        <v>1</v>
      </c>
      <c r="B8" t="s">
        <v>18</v>
      </c>
      <c r="C8" t="s">
        <v>5</v>
      </c>
      <c r="D8" t="s">
        <v>5</v>
      </c>
      <c r="E8">
        <v>2016</v>
      </c>
      <c r="F8" t="s">
        <v>13</v>
      </c>
      <c r="G8" t="s">
        <v>20</v>
      </c>
      <c r="H8" t="s">
        <v>21</v>
      </c>
      <c r="I8" t="str">
        <f t="shared" si="0"/>
        <v>mco_MET_2016_FINESS_REG_NoAge</v>
      </c>
      <c r="J8" t="s">
        <v>26</v>
      </c>
    </row>
    <row r="9" spans="1:10" x14ac:dyDescent="0.35">
      <c r="A9" t="s">
        <v>1</v>
      </c>
      <c r="B9" t="s">
        <v>18</v>
      </c>
      <c r="C9" t="s">
        <v>5</v>
      </c>
      <c r="D9" t="s">
        <v>5</v>
      </c>
      <c r="E9">
        <v>2016</v>
      </c>
      <c r="F9" t="s">
        <v>13</v>
      </c>
      <c r="G9" t="s">
        <v>15</v>
      </c>
      <c r="H9" t="s">
        <v>21</v>
      </c>
      <c r="I9" t="str">
        <f t="shared" si="0"/>
        <v>mco_MET_2016_FINESS_DEP_NoAge</v>
      </c>
      <c r="J9" t="s">
        <v>26</v>
      </c>
    </row>
    <row r="10" spans="1:10" x14ac:dyDescent="0.35">
      <c r="A10" t="s">
        <v>1</v>
      </c>
      <c r="B10" t="s">
        <v>18</v>
      </c>
      <c r="C10" t="s">
        <v>5</v>
      </c>
      <c r="D10" t="s">
        <v>5</v>
      </c>
      <c r="E10">
        <v>2016</v>
      </c>
      <c r="F10" t="s">
        <v>13</v>
      </c>
      <c r="G10" t="s">
        <v>16</v>
      </c>
      <c r="H10" t="s">
        <v>21</v>
      </c>
      <c r="I10" t="str">
        <f t="shared" si="0"/>
        <v>mco_MET_2016_FINESS_PMSI_NoAge</v>
      </c>
      <c r="J10" t="s">
        <v>26</v>
      </c>
    </row>
    <row r="11" spans="1:10" x14ac:dyDescent="0.35">
      <c r="A11" t="s">
        <v>1</v>
      </c>
      <c r="B11" t="s">
        <v>18</v>
      </c>
      <c r="C11" t="s">
        <v>5</v>
      </c>
      <c r="D11" t="s">
        <v>5</v>
      </c>
      <c r="E11">
        <v>2016</v>
      </c>
      <c r="F11" t="s">
        <v>13</v>
      </c>
      <c r="G11" t="s">
        <v>20</v>
      </c>
      <c r="H11" t="s">
        <v>2</v>
      </c>
      <c r="I11" t="str">
        <f t="shared" si="0"/>
        <v>mco_MET_2016_FINESS_REG_Age</v>
      </c>
      <c r="J11" t="s">
        <v>26</v>
      </c>
    </row>
    <row r="12" spans="1:10" x14ac:dyDescent="0.35">
      <c r="A12" t="s">
        <v>1</v>
      </c>
      <c r="B12" t="s">
        <v>18</v>
      </c>
      <c r="C12" t="s">
        <v>5</v>
      </c>
      <c r="D12" t="s">
        <v>5</v>
      </c>
      <c r="E12">
        <v>2016</v>
      </c>
      <c r="F12" t="s">
        <v>13</v>
      </c>
      <c r="G12" t="s">
        <v>15</v>
      </c>
      <c r="H12" t="s">
        <v>2</v>
      </c>
      <c r="I12" t="str">
        <f t="shared" si="0"/>
        <v>mco_MET_2016_FINESS_DEP_Age</v>
      </c>
      <c r="J12" t="s">
        <v>26</v>
      </c>
    </row>
    <row r="13" spans="1:10" x14ac:dyDescent="0.35">
      <c r="A13" t="s">
        <v>1</v>
      </c>
      <c r="B13" t="s">
        <v>18</v>
      </c>
      <c r="C13" t="s">
        <v>5</v>
      </c>
      <c r="D13" t="s">
        <v>5</v>
      </c>
      <c r="E13">
        <v>2016</v>
      </c>
      <c r="F13" t="s">
        <v>13</v>
      </c>
      <c r="G13" t="s">
        <v>16</v>
      </c>
      <c r="H13" t="s">
        <v>2</v>
      </c>
      <c r="I13" t="str">
        <f t="shared" si="0"/>
        <v>mco_MET_2016_FINESS_PMSI_Age</v>
      </c>
      <c r="J13" t="s">
        <v>26</v>
      </c>
    </row>
    <row r="14" spans="1:10" x14ac:dyDescent="0.35">
      <c r="A14" t="s">
        <v>1</v>
      </c>
      <c r="B14" t="s">
        <v>18</v>
      </c>
      <c r="C14" t="s">
        <v>5</v>
      </c>
      <c r="D14" t="s">
        <v>5</v>
      </c>
      <c r="E14">
        <v>2017</v>
      </c>
      <c r="F14" t="s">
        <v>27</v>
      </c>
      <c r="G14" t="s">
        <v>20</v>
      </c>
      <c r="H14" t="s">
        <v>21</v>
      </c>
      <c r="I14" t="str">
        <f t="shared" si="0"/>
        <v>mco_MET_2017_ALL_REG_NoAge</v>
      </c>
      <c r="J14" t="s">
        <v>26</v>
      </c>
    </row>
    <row r="15" spans="1:10" x14ac:dyDescent="0.35">
      <c r="A15" t="s">
        <v>1</v>
      </c>
      <c r="B15" t="s">
        <v>18</v>
      </c>
      <c r="C15" t="s">
        <v>5</v>
      </c>
      <c r="D15" t="s">
        <v>5</v>
      </c>
      <c r="E15">
        <v>2017</v>
      </c>
      <c r="F15" t="s">
        <v>27</v>
      </c>
      <c r="G15" t="s">
        <v>15</v>
      </c>
      <c r="H15" t="s">
        <v>21</v>
      </c>
      <c r="I15" t="str">
        <f t="shared" si="0"/>
        <v>mco_MET_2017_ALL_DEP_NoAge</v>
      </c>
      <c r="J15" t="s">
        <v>26</v>
      </c>
    </row>
    <row r="16" spans="1:10" x14ac:dyDescent="0.35">
      <c r="A16" t="s">
        <v>1</v>
      </c>
      <c r="B16" t="s">
        <v>18</v>
      </c>
      <c r="C16" t="s">
        <v>5</v>
      </c>
      <c r="D16" t="s">
        <v>5</v>
      </c>
      <c r="E16">
        <v>2017</v>
      </c>
      <c r="F16" t="s">
        <v>27</v>
      </c>
      <c r="G16" t="s">
        <v>16</v>
      </c>
      <c r="H16" t="s">
        <v>21</v>
      </c>
      <c r="I16" t="str">
        <f t="shared" si="0"/>
        <v>mco_MET_2017_ALL_PMSI_NoAge</v>
      </c>
      <c r="J16" t="s">
        <v>26</v>
      </c>
    </row>
    <row r="17" spans="1:10" x14ac:dyDescent="0.35">
      <c r="A17" t="s">
        <v>1</v>
      </c>
      <c r="B17" t="s">
        <v>18</v>
      </c>
      <c r="C17" t="s">
        <v>5</v>
      </c>
      <c r="D17" t="s">
        <v>5</v>
      </c>
      <c r="E17">
        <v>2017</v>
      </c>
      <c r="F17" t="s">
        <v>27</v>
      </c>
      <c r="G17" t="s">
        <v>20</v>
      </c>
      <c r="H17" t="s">
        <v>2</v>
      </c>
      <c r="I17" t="str">
        <f t="shared" si="0"/>
        <v>mco_MET_2017_ALL_REG_Age</v>
      </c>
      <c r="J17" t="s">
        <v>26</v>
      </c>
    </row>
    <row r="18" spans="1:10" x14ac:dyDescent="0.35">
      <c r="A18" t="s">
        <v>1</v>
      </c>
      <c r="B18" t="s">
        <v>18</v>
      </c>
      <c r="C18" t="s">
        <v>5</v>
      </c>
      <c r="D18" t="s">
        <v>5</v>
      </c>
      <c r="E18">
        <v>2017</v>
      </c>
      <c r="F18" t="s">
        <v>27</v>
      </c>
      <c r="G18" t="s">
        <v>15</v>
      </c>
      <c r="H18" t="s">
        <v>2</v>
      </c>
      <c r="I18" t="str">
        <f t="shared" si="0"/>
        <v>mco_MET_2017_ALL_DEP_Age</v>
      </c>
      <c r="J18" t="s">
        <v>26</v>
      </c>
    </row>
    <row r="19" spans="1:10" x14ac:dyDescent="0.35">
      <c r="A19" t="s">
        <v>1</v>
      </c>
      <c r="B19" t="s">
        <v>18</v>
      </c>
      <c r="C19" t="s">
        <v>5</v>
      </c>
      <c r="D19" t="s">
        <v>5</v>
      </c>
      <c r="E19">
        <v>2017</v>
      </c>
      <c r="F19" t="s">
        <v>27</v>
      </c>
      <c r="G19" t="s">
        <v>16</v>
      </c>
      <c r="H19" t="s">
        <v>2</v>
      </c>
      <c r="I19" t="str">
        <f t="shared" si="0"/>
        <v>mco_MET_2017_ALL_PMSI_Age</v>
      </c>
      <c r="J19" t="s">
        <v>26</v>
      </c>
    </row>
    <row r="20" spans="1:10" x14ac:dyDescent="0.35">
      <c r="A20" t="s">
        <v>1</v>
      </c>
      <c r="B20" t="s">
        <v>18</v>
      </c>
      <c r="C20" t="s">
        <v>5</v>
      </c>
      <c r="D20" t="s">
        <v>5</v>
      </c>
      <c r="E20">
        <v>2017</v>
      </c>
      <c r="F20" t="s">
        <v>13</v>
      </c>
      <c r="G20" t="s">
        <v>20</v>
      </c>
      <c r="H20" t="s">
        <v>21</v>
      </c>
      <c r="I20" t="str">
        <f t="shared" si="0"/>
        <v>mco_MET_2017_FINESS_REG_NoAge</v>
      </c>
      <c r="J20" t="s">
        <v>26</v>
      </c>
    </row>
    <row r="21" spans="1:10" x14ac:dyDescent="0.35">
      <c r="A21" t="s">
        <v>1</v>
      </c>
      <c r="B21" t="s">
        <v>18</v>
      </c>
      <c r="C21" t="s">
        <v>5</v>
      </c>
      <c r="D21" t="s">
        <v>5</v>
      </c>
      <c r="E21">
        <v>2017</v>
      </c>
      <c r="F21" t="s">
        <v>13</v>
      </c>
      <c r="G21" t="s">
        <v>15</v>
      </c>
      <c r="H21" t="s">
        <v>21</v>
      </c>
      <c r="I21" t="str">
        <f t="shared" si="0"/>
        <v>mco_MET_2017_FINESS_DEP_NoAge</v>
      </c>
      <c r="J21" t="s">
        <v>26</v>
      </c>
    </row>
    <row r="22" spans="1:10" x14ac:dyDescent="0.35">
      <c r="A22" t="s">
        <v>1</v>
      </c>
      <c r="B22" t="s">
        <v>18</v>
      </c>
      <c r="C22" t="s">
        <v>5</v>
      </c>
      <c r="D22" t="s">
        <v>5</v>
      </c>
      <c r="E22">
        <v>2017</v>
      </c>
      <c r="F22" t="s">
        <v>13</v>
      </c>
      <c r="G22" t="s">
        <v>16</v>
      </c>
      <c r="H22" t="s">
        <v>21</v>
      </c>
      <c r="I22" t="str">
        <f t="shared" si="0"/>
        <v>mco_MET_2017_FINESS_PMSI_NoAge</v>
      </c>
      <c r="J22" t="s">
        <v>26</v>
      </c>
    </row>
    <row r="23" spans="1:10" x14ac:dyDescent="0.35">
      <c r="A23" t="s">
        <v>1</v>
      </c>
      <c r="B23" t="s">
        <v>18</v>
      </c>
      <c r="C23" t="s">
        <v>5</v>
      </c>
      <c r="D23" t="s">
        <v>5</v>
      </c>
      <c r="E23">
        <v>2017</v>
      </c>
      <c r="F23" t="s">
        <v>13</v>
      </c>
      <c r="G23" t="s">
        <v>20</v>
      </c>
      <c r="H23" t="s">
        <v>2</v>
      </c>
      <c r="I23" t="str">
        <f t="shared" si="0"/>
        <v>mco_MET_2017_FINESS_REG_Age</v>
      </c>
      <c r="J23" t="s">
        <v>26</v>
      </c>
    </row>
    <row r="24" spans="1:10" x14ac:dyDescent="0.35">
      <c r="A24" t="s">
        <v>1</v>
      </c>
      <c r="B24" t="s">
        <v>18</v>
      </c>
      <c r="C24" t="s">
        <v>5</v>
      </c>
      <c r="D24" t="s">
        <v>5</v>
      </c>
      <c r="E24">
        <v>2017</v>
      </c>
      <c r="F24" t="s">
        <v>13</v>
      </c>
      <c r="G24" t="s">
        <v>15</v>
      </c>
      <c r="H24" t="s">
        <v>2</v>
      </c>
      <c r="I24" t="str">
        <f t="shared" si="0"/>
        <v>mco_MET_2017_FINESS_DEP_Age</v>
      </c>
      <c r="J24" t="s">
        <v>26</v>
      </c>
    </row>
    <row r="25" spans="1:10" x14ac:dyDescent="0.35">
      <c r="A25" t="s">
        <v>1</v>
      </c>
      <c r="B25" t="s">
        <v>18</v>
      </c>
      <c r="C25" t="s">
        <v>5</v>
      </c>
      <c r="D25" t="s">
        <v>5</v>
      </c>
      <c r="E25">
        <v>2017</v>
      </c>
      <c r="F25" t="s">
        <v>13</v>
      </c>
      <c r="G25" t="s">
        <v>16</v>
      </c>
      <c r="H25" t="s">
        <v>2</v>
      </c>
      <c r="I25" t="str">
        <f t="shared" si="0"/>
        <v>mco_MET_2017_FINESS_PMSI_Age</v>
      </c>
      <c r="J25" t="s">
        <v>26</v>
      </c>
    </row>
    <row r="26" spans="1:10" x14ac:dyDescent="0.35">
      <c r="A26" t="s">
        <v>1</v>
      </c>
      <c r="B26" t="s">
        <v>18</v>
      </c>
      <c r="C26" t="s">
        <v>5</v>
      </c>
      <c r="D26" t="s">
        <v>5</v>
      </c>
      <c r="E26">
        <v>2018</v>
      </c>
      <c r="F26" t="s">
        <v>27</v>
      </c>
      <c r="G26" t="s">
        <v>20</v>
      </c>
      <c r="H26" t="s">
        <v>21</v>
      </c>
      <c r="I26" t="str">
        <f t="shared" si="0"/>
        <v>mco_MET_2018_ALL_REG_NoAge</v>
      </c>
      <c r="J26" t="s">
        <v>26</v>
      </c>
    </row>
    <row r="27" spans="1:10" x14ac:dyDescent="0.35">
      <c r="A27" t="s">
        <v>1</v>
      </c>
      <c r="B27" t="s">
        <v>18</v>
      </c>
      <c r="C27" t="s">
        <v>5</v>
      </c>
      <c r="D27" t="s">
        <v>5</v>
      </c>
      <c r="E27">
        <v>2018</v>
      </c>
      <c r="F27" t="s">
        <v>27</v>
      </c>
      <c r="G27" t="s">
        <v>15</v>
      </c>
      <c r="H27" t="s">
        <v>21</v>
      </c>
      <c r="I27" t="str">
        <f t="shared" si="0"/>
        <v>mco_MET_2018_ALL_DEP_NoAge</v>
      </c>
      <c r="J27" t="s">
        <v>26</v>
      </c>
    </row>
    <row r="28" spans="1:10" x14ac:dyDescent="0.35">
      <c r="A28" t="s">
        <v>1</v>
      </c>
      <c r="B28" t="s">
        <v>18</v>
      </c>
      <c r="C28" t="s">
        <v>5</v>
      </c>
      <c r="D28" t="s">
        <v>5</v>
      </c>
      <c r="E28">
        <v>2018</v>
      </c>
      <c r="F28" t="s">
        <v>27</v>
      </c>
      <c r="G28" t="s">
        <v>16</v>
      </c>
      <c r="H28" t="s">
        <v>21</v>
      </c>
      <c r="I28" t="str">
        <f t="shared" si="0"/>
        <v>mco_MET_2018_ALL_PMSI_NoAge</v>
      </c>
      <c r="J28" t="s">
        <v>26</v>
      </c>
    </row>
    <row r="29" spans="1:10" x14ac:dyDescent="0.35">
      <c r="A29" t="s">
        <v>1</v>
      </c>
      <c r="B29" t="s">
        <v>18</v>
      </c>
      <c r="C29" t="s">
        <v>5</v>
      </c>
      <c r="D29" t="s">
        <v>5</v>
      </c>
      <c r="E29">
        <v>2018</v>
      </c>
      <c r="F29" t="s">
        <v>27</v>
      </c>
      <c r="G29" t="s">
        <v>20</v>
      </c>
      <c r="H29" t="s">
        <v>2</v>
      </c>
      <c r="I29" t="str">
        <f t="shared" si="0"/>
        <v>mco_MET_2018_ALL_REG_Age</v>
      </c>
      <c r="J29" t="s">
        <v>26</v>
      </c>
    </row>
    <row r="30" spans="1:10" x14ac:dyDescent="0.35">
      <c r="A30" t="s">
        <v>1</v>
      </c>
      <c r="B30" t="s">
        <v>18</v>
      </c>
      <c r="C30" t="s">
        <v>5</v>
      </c>
      <c r="D30" t="s">
        <v>5</v>
      </c>
      <c r="E30">
        <v>2018</v>
      </c>
      <c r="F30" t="s">
        <v>27</v>
      </c>
      <c r="G30" t="s">
        <v>15</v>
      </c>
      <c r="H30" t="s">
        <v>2</v>
      </c>
      <c r="I30" t="str">
        <f t="shared" si="0"/>
        <v>mco_MET_2018_ALL_DEP_Age</v>
      </c>
      <c r="J30" t="s">
        <v>26</v>
      </c>
    </row>
    <row r="31" spans="1:10" x14ac:dyDescent="0.35">
      <c r="A31" t="s">
        <v>1</v>
      </c>
      <c r="B31" t="s">
        <v>18</v>
      </c>
      <c r="C31" t="s">
        <v>5</v>
      </c>
      <c r="D31" t="s">
        <v>5</v>
      </c>
      <c r="E31">
        <v>2018</v>
      </c>
      <c r="F31" t="s">
        <v>27</v>
      </c>
      <c r="G31" t="s">
        <v>16</v>
      </c>
      <c r="H31" t="s">
        <v>2</v>
      </c>
      <c r="I31" t="str">
        <f t="shared" si="0"/>
        <v>mco_MET_2018_ALL_PMSI_Age</v>
      </c>
      <c r="J31" t="s">
        <v>26</v>
      </c>
    </row>
    <row r="32" spans="1:10" x14ac:dyDescent="0.35">
      <c r="A32" t="s">
        <v>1</v>
      </c>
      <c r="B32" t="s">
        <v>18</v>
      </c>
      <c r="C32" t="s">
        <v>5</v>
      </c>
      <c r="D32" t="s">
        <v>5</v>
      </c>
      <c r="E32">
        <v>2018</v>
      </c>
      <c r="F32" t="s">
        <v>13</v>
      </c>
      <c r="G32" t="s">
        <v>20</v>
      </c>
      <c r="H32" t="s">
        <v>21</v>
      </c>
      <c r="I32" t="str">
        <f t="shared" si="0"/>
        <v>mco_MET_2018_FINESS_REG_NoAge</v>
      </c>
      <c r="J32" t="s">
        <v>26</v>
      </c>
    </row>
    <row r="33" spans="1:10" x14ac:dyDescent="0.35">
      <c r="A33" t="s">
        <v>1</v>
      </c>
      <c r="B33" t="s">
        <v>18</v>
      </c>
      <c r="C33" t="s">
        <v>5</v>
      </c>
      <c r="D33" t="s">
        <v>5</v>
      </c>
      <c r="E33">
        <v>2018</v>
      </c>
      <c r="F33" t="s">
        <v>13</v>
      </c>
      <c r="G33" t="s">
        <v>15</v>
      </c>
      <c r="H33" t="s">
        <v>21</v>
      </c>
      <c r="I33" t="str">
        <f t="shared" si="0"/>
        <v>mco_MET_2018_FINESS_DEP_NoAge</v>
      </c>
      <c r="J33" t="s">
        <v>26</v>
      </c>
    </row>
    <row r="34" spans="1:10" x14ac:dyDescent="0.35">
      <c r="A34" t="s">
        <v>1</v>
      </c>
      <c r="B34" t="s">
        <v>18</v>
      </c>
      <c r="C34" t="s">
        <v>5</v>
      </c>
      <c r="D34" t="s">
        <v>5</v>
      </c>
      <c r="E34">
        <v>2018</v>
      </c>
      <c r="F34" t="s">
        <v>13</v>
      </c>
      <c r="G34" t="s">
        <v>16</v>
      </c>
      <c r="H34" t="s">
        <v>21</v>
      </c>
      <c r="I34" t="str">
        <f t="shared" ref="I34:I65" si="1">"mco_"&amp;B34&amp;"_"&amp;E34&amp;"_"&amp;F34&amp;"_"&amp;G34&amp;"_"&amp;H34</f>
        <v>mco_MET_2018_FINESS_PMSI_NoAge</v>
      </c>
      <c r="J34" t="s">
        <v>26</v>
      </c>
    </row>
    <row r="35" spans="1:10" x14ac:dyDescent="0.35">
      <c r="A35" t="s">
        <v>1</v>
      </c>
      <c r="B35" t="s">
        <v>18</v>
      </c>
      <c r="C35" t="s">
        <v>5</v>
      </c>
      <c r="D35" t="s">
        <v>5</v>
      </c>
      <c r="E35">
        <v>2018</v>
      </c>
      <c r="F35" t="s">
        <v>13</v>
      </c>
      <c r="G35" t="s">
        <v>20</v>
      </c>
      <c r="H35" t="s">
        <v>2</v>
      </c>
      <c r="I35" t="str">
        <f t="shared" si="1"/>
        <v>mco_MET_2018_FINESS_REG_Age</v>
      </c>
      <c r="J35" t="s">
        <v>26</v>
      </c>
    </row>
    <row r="36" spans="1:10" x14ac:dyDescent="0.35">
      <c r="A36" t="s">
        <v>1</v>
      </c>
      <c r="B36" t="s">
        <v>18</v>
      </c>
      <c r="C36" t="s">
        <v>5</v>
      </c>
      <c r="D36" t="s">
        <v>5</v>
      </c>
      <c r="E36">
        <v>2018</v>
      </c>
      <c r="F36" t="s">
        <v>13</v>
      </c>
      <c r="G36" t="s">
        <v>15</v>
      </c>
      <c r="H36" t="s">
        <v>2</v>
      </c>
      <c r="I36" t="str">
        <f t="shared" si="1"/>
        <v>mco_MET_2018_FINESS_DEP_Age</v>
      </c>
      <c r="J36" t="s">
        <v>26</v>
      </c>
    </row>
    <row r="37" spans="1:10" x14ac:dyDescent="0.35">
      <c r="A37" t="s">
        <v>1</v>
      </c>
      <c r="B37" t="s">
        <v>18</v>
      </c>
      <c r="C37" t="s">
        <v>5</v>
      </c>
      <c r="D37" t="s">
        <v>5</v>
      </c>
      <c r="E37">
        <v>2018</v>
      </c>
      <c r="F37" t="s">
        <v>13</v>
      </c>
      <c r="G37" t="s">
        <v>16</v>
      </c>
      <c r="H37" t="s">
        <v>2</v>
      </c>
      <c r="I37" t="str">
        <f t="shared" si="1"/>
        <v>mco_MET_2018_FINESS_PMSI_Age</v>
      </c>
      <c r="J37" t="s">
        <v>26</v>
      </c>
    </row>
    <row r="38" spans="1:10" x14ac:dyDescent="0.35">
      <c r="A38" t="s">
        <v>1</v>
      </c>
      <c r="B38" t="s">
        <v>18</v>
      </c>
      <c r="C38" t="s">
        <v>5</v>
      </c>
      <c r="D38" t="s">
        <v>5</v>
      </c>
      <c r="E38">
        <v>2019</v>
      </c>
      <c r="F38" t="s">
        <v>27</v>
      </c>
      <c r="G38" t="s">
        <v>20</v>
      </c>
      <c r="H38" t="s">
        <v>21</v>
      </c>
      <c r="I38" t="str">
        <f t="shared" si="1"/>
        <v>mco_MET_2019_ALL_REG_NoAge</v>
      </c>
      <c r="J38" t="s">
        <v>26</v>
      </c>
    </row>
    <row r="39" spans="1:10" x14ac:dyDescent="0.35">
      <c r="A39" t="s">
        <v>1</v>
      </c>
      <c r="B39" t="s">
        <v>18</v>
      </c>
      <c r="C39" t="s">
        <v>5</v>
      </c>
      <c r="D39" t="s">
        <v>5</v>
      </c>
      <c r="E39">
        <v>2019</v>
      </c>
      <c r="F39" t="s">
        <v>27</v>
      </c>
      <c r="G39" t="s">
        <v>15</v>
      </c>
      <c r="H39" t="s">
        <v>21</v>
      </c>
      <c r="I39" t="str">
        <f t="shared" si="1"/>
        <v>mco_MET_2019_ALL_DEP_NoAge</v>
      </c>
      <c r="J39" t="s">
        <v>26</v>
      </c>
    </row>
    <row r="40" spans="1:10" x14ac:dyDescent="0.35">
      <c r="A40" t="s">
        <v>1</v>
      </c>
      <c r="B40" t="s">
        <v>18</v>
      </c>
      <c r="C40" t="s">
        <v>5</v>
      </c>
      <c r="D40" t="s">
        <v>5</v>
      </c>
      <c r="E40">
        <v>2019</v>
      </c>
      <c r="F40" t="s">
        <v>27</v>
      </c>
      <c r="G40" t="s">
        <v>16</v>
      </c>
      <c r="H40" t="s">
        <v>21</v>
      </c>
      <c r="I40" t="str">
        <f t="shared" si="1"/>
        <v>mco_MET_2019_ALL_PMSI_NoAge</v>
      </c>
      <c r="J40" t="s">
        <v>26</v>
      </c>
    </row>
    <row r="41" spans="1:10" x14ac:dyDescent="0.35">
      <c r="A41" t="s">
        <v>1</v>
      </c>
      <c r="B41" t="s">
        <v>18</v>
      </c>
      <c r="C41" t="s">
        <v>5</v>
      </c>
      <c r="D41" t="s">
        <v>5</v>
      </c>
      <c r="E41">
        <v>2019</v>
      </c>
      <c r="F41" t="s">
        <v>27</v>
      </c>
      <c r="G41" t="s">
        <v>20</v>
      </c>
      <c r="H41" t="s">
        <v>2</v>
      </c>
      <c r="I41" t="str">
        <f t="shared" si="1"/>
        <v>mco_MET_2019_ALL_REG_Age</v>
      </c>
      <c r="J41" t="s">
        <v>26</v>
      </c>
    </row>
    <row r="42" spans="1:10" x14ac:dyDescent="0.35">
      <c r="A42" t="s">
        <v>1</v>
      </c>
      <c r="B42" t="s">
        <v>18</v>
      </c>
      <c r="C42" t="s">
        <v>5</v>
      </c>
      <c r="D42" t="s">
        <v>5</v>
      </c>
      <c r="E42">
        <v>2019</v>
      </c>
      <c r="F42" t="s">
        <v>27</v>
      </c>
      <c r="G42" t="s">
        <v>15</v>
      </c>
      <c r="H42" t="s">
        <v>2</v>
      </c>
      <c r="I42" t="str">
        <f t="shared" si="1"/>
        <v>mco_MET_2019_ALL_DEP_Age</v>
      </c>
      <c r="J42" t="s">
        <v>26</v>
      </c>
    </row>
    <row r="43" spans="1:10" x14ac:dyDescent="0.35">
      <c r="A43" t="s">
        <v>1</v>
      </c>
      <c r="B43" t="s">
        <v>18</v>
      </c>
      <c r="C43" t="s">
        <v>5</v>
      </c>
      <c r="D43" t="s">
        <v>5</v>
      </c>
      <c r="E43">
        <v>2019</v>
      </c>
      <c r="F43" t="s">
        <v>27</v>
      </c>
      <c r="G43" t="s">
        <v>16</v>
      </c>
      <c r="H43" t="s">
        <v>2</v>
      </c>
      <c r="I43" t="str">
        <f t="shared" si="1"/>
        <v>mco_MET_2019_ALL_PMSI_Age</v>
      </c>
      <c r="J43" t="s">
        <v>26</v>
      </c>
    </row>
    <row r="44" spans="1:10" x14ac:dyDescent="0.35">
      <c r="A44" t="s">
        <v>1</v>
      </c>
      <c r="B44" t="s">
        <v>18</v>
      </c>
      <c r="C44" t="s">
        <v>5</v>
      </c>
      <c r="D44" t="s">
        <v>5</v>
      </c>
      <c r="E44">
        <v>2019</v>
      </c>
      <c r="F44" t="s">
        <v>13</v>
      </c>
      <c r="G44" t="s">
        <v>20</v>
      </c>
      <c r="H44" t="s">
        <v>21</v>
      </c>
      <c r="I44" t="str">
        <f t="shared" si="1"/>
        <v>mco_MET_2019_FINESS_REG_NoAge</v>
      </c>
      <c r="J44" t="s">
        <v>26</v>
      </c>
    </row>
    <row r="45" spans="1:10" x14ac:dyDescent="0.35">
      <c r="A45" t="s">
        <v>1</v>
      </c>
      <c r="B45" t="s">
        <v>18</v>
      </c>
      <c r="C45" t="s">
        <v>5</v>
      </c>
      <c r="D45" t="s">
        <v>5</v>
      </c>
      <c r="E45">
        <v>2019</v>
      </c>
      <c r="F45" t="s">
        <v>13</v>
      </c>
      <c r="G45" t="s">
        <v>15</v>
      </c>
      <c r="H45" t="s">
        <v>21</v>
      </c>
      <c r="I45" t="str">
        <f t="shared" si="1"/>
        <v>mco_MET_2019_FINESS_DEP_NoAge</v>
      </c>
      <c r="J45" t="s">
        <v>26</v>
      </c>
    </row>
    <row r="46" spans="1:10" x14ac:dyDescent="0.35">
      <c r="A46" t="s">
        <v>1</v>
      </c>
      <c r="B46" t="s">
        <v>18</v>
      </c>
      <c r="C46" t="s">
        <v>5</v>
      </c>
      <c r="D46" t="s">
        <v>5</v>
      </c>
      <c r="E46">
        <v>2019</v>
      </c>
      <c r="F46" t="s">
        <v>13</v>
      </c>
      <c r="G46" t="s">
        <v>16</v>
      </c>
      <c r="H46" t="s">
        <v>21</v>
      </c>
      <c r="I46" t="str">
        <f t="shared" si="1"/>
        <v>mco_MET_2019_FINESS_PMSI_NoAge</v>
      </c>
      <c r="J46" t="s">
        <v>26</v>
      </c>
    </row>
    <row r="47" spans="1:10" x14ac:dyDescent="0.35">
      <c r="A47" t="s">
        <v>1</v>
      </c>
      <c r="B47" t="s">
        <v>18</v>
      </c>
      <c r="C47" t="s">
        <v>5</v>
      </c>
      <c r="D47" t="s">
        <v>5</v>
      </c>
      <c r="E47">
        <v>2019</v>
      </c>
      <c r="F47" t="s">
        <v>13</v>
      </c>
      <c r="G47" t="s">
        <v>20</v>
      </c>
      <c r="H47" t="s">
        <v>2</v>
      </c>
      <c r="I47" t="str">
        <f t="shared" si="1"/>
        <v>mco_MET_2019_FINESS_REG_Age</v>
      </c>
      <c r="J47" t="s">
        <v>26</v>
      </c>
    </row>
    <row r="48" spans="1:10" x14ac:dyDescent="0.35">
      <c r="A48" t="s">
        <v>1</v>
      </c>
      <c r="B48" t="s">
        <v>18</v>
      </c>
      <c r="C48" t="s">
        <v>5</v>
      </c>
      <c r="D48" t="s">
        <v>5</v>
      </c>
      <c r="E48">
        <v>2019</v>
      </c>
      <c r="F48" t="s">
        <v>13</v>
      </c>
      <c r="G48" t="s">
        <v>15</v>
      </c>
      <c r="H48" t="s">
        <v>2</v>
      </c>
      <c r="I48" t="str">
        <f t="shared" si="1"/>
        <v>mco_MET_2019_FINESS_DEP_Age</v>
      </c>
      <c r="J48" t="s">
        <v>26</v>
      </c>
    </row>
    <row r="49" spans="1:10" x14ac:dyDescent="0.35">
      <c r="A49" t="s">
        <v>1</v>
      </c>
      <c r="B49" t="s">
        <v>18</v>
      </c>
      <c r="C49" t="s">
        <v>5</v>
      </c>
      <c r="D49" t="s">
        <v>5</v>
      </c>
      <c r="E49">
        <v>2019</v>
      </c>
      <c r="F49" t="s">
        <v>13</v>
      </c>
      <c r="G49" t="s">
        <v>16</v>
      </c>
      <c r="H49" t="s">
        <v>2</v>
      </c>
      <c r="I49" t="str">
        <f t="shared" si="1"/>
        <v>mco_MET_2019_FINESS_PMSI_Age</v>
      </c>
      <c r="J49" t="s">
        <v>26</v>
      </c>
    </row>
    <row r="50" spans="1:10" x14ac:dyDescent="0.35">
      <c r="A50" t="s">
        <v>1</v>
      </c>
      <c r="B50" t="s">
        <v>18</v>
      </c>
      <c r="C50" t="s">
        <v>5</v>
      </c>
      <c r="D50" t="s">
        <v>5</v>
      </c>
      <c r="E50">
        <v>2020</v>
      </c>
      <c r="F50" t="s">
        <v>27</v>
      </c>
      <c r="G50" t="s">
        <v>20</v>
      </c>
      <c r="H50" t="s">
        <v>21</v>
      </c>
      <c r="I50" t="str">
        <f t="shared" si="1"/>
        <v>mco_MET_2020_ALL_REG_NoAge</v>
      </c>
      <c r="J50" t="s">
        <v>26</v>
      </c>
    </row>
    <row r="51" spans="1:10" x14ac:dyDescent="0.35">
      <c r="A51" t="s">
        <v>1</v>
      </c>
      <c r="B51" t="s">
        <v>18</v>
      </c>
      <c r="C51" t="s">
        <v>5</v>
      </c>
      <c r="D51" t="s">
        <v>5</v>
      </c>
      <c r="E51">
        <v>2020</v>
      </c>
      <c r="F51" t="s">
        <v>27</v>
      </c>
      <c r="G51" t="s">
        <v>15</v>
      </c>
      <c r="H51" t="s">
        <v>21</v>
      </c>
      <c r="I51" t="str">
        <f t="shared" si="1"/>
        <v>mco_MET_2020_ALL_DEP_NoAge</v>
      </c>
      <c r="J51" t="s">
        <v>26</v>
      </c>
    </row>
    <row r="52" spans="1:10" x14ac:dyDescent="0.35">
      <c r="A52" t="s">
        <v>1</v>
      </c>
      <c r="B52" t="s">
        <v>18</v>
      </c>
      <c r="C52" t="s">
        <v>5</v>
      </c>
      <c r="D52" t="s">
        <v>5</v>
      </c>
      <c r="E52">
        <v>2020</v>
      </c>
      <c r="F52" t="s">
        <v>27</v>
      </c>
      <c r="G52" t="s">
        <v>16</v>
      </c>
      <c r="H52" t="s">
        <v>21</v>
      </c>
      <c r="I52" t="str">
        <f t="shared" si="1"/>
        <v>mco_MET_2020_ALL_PMSI_NoAge</v>
      </c>
      <c r="J52" t="s">
        <v>26</v>
      </c>
    </row>
    <row r="53" spans="1:10" x14ac:dyDescent="0.35">
      <c r="A53" t="s">
        <v>1</v>
      </c>
      <c r="B53" t="s">
        <v>18</v>
      </c>
      <c r="C53" t="s">
        <v>5</v>
      </c>
      <c r="D53" t="s">
        <v>5</v>
      </c>
      <c r="E53">
        <v>2020</v>
      </c>
      <c r="F53" t="s">
        <v>27</v>
      </c>
      <c r="G53" t="s">
        <v>20</v>
      </c>
      <c r="H53" t="s">
        <v>2</v>
      </c>
      <c r="I53" t="str">
        <f t="shared" si="1"/>
        <v>mco_MET_2020_ALL_REG_Age</v>
      </c>
      <c r="J53" t="s">
        <v>26</v>
      </c>
    </row>
    <row r="54" spans="1:10" x14ac:dyDescent="0.35">
      <c r="A54" t="s">
        <v>1</v>
      </c>
      <c r="B54" t="s">
        <v>18</v>
      </c>
      <c r="C54" t="s">
        <v>5</v>
      </c>
      <c r="D54" t="s">
        <v>5</v>
      </c>
      <c r="E54">
        <v>2020</v>
      </c>
      <c r="F54" t="s">
        <v>27</v>
      </c>
      <c r="G54" t="s">
        <v>15</v>
      </c>
      <c r="H54" t="s">
        <v>2</v>
      </c>
      <c r="I54" t="str">
        <f t="shared" si="1"/>
        <v>mco_MET_2020_ALL_DEP_Age</v>
      </c>
      <c r="J54" t="s">
        <v>26</v>
      </c>
    </row>
    <row r="55" spans="1:10" x14ac:dyDescent="0.35">
      <c r="A55" t="s">
        <v>1</v>
      </c>
      <c r="B55" t="s">
        <v>18</v>
      </c>
      <c r="C55" t="s">
        <v>5</v>
      </c>
      <c r="D55" t="s">
        <v>5</v>
      </c>
      <c r="E55">
        <v>2020</v>
      </c>
      <c r="F55" t="s">
        <v>27</v>
      </c>
      <c r="G55" t="s">
        <v>16</v>
      </c>
      <c r="H55" t="s">
        <v>2</v>
      </c>
      <c r="I55" t="str">
        <f t="shared" si="1"/>
        <v>mco_MET_2020_ALL_PMSI_Age</v>
      </c>
      <c r="J55" t="s">
        <v>26</v>
      </c>
    </row>
    <row r="56" spans="1:10" x14ac:dyDescent="0.35">
      <c r="A56" t="s">
        <v>1</v>
      </c>
      <c r="B56" t="s">
        <v>18</v>
      </c>
      <c r="C56" t="s">
        <v>5</v>
      </c>
      <c r="D56" t="s">
        <v>5</v>
      </c>
      <c r="E56">
        <v>2020</v>
      </c>
      <c r="F56" t="s">
        <v>13</v>
      </c>
      <c r="G56" t="s">
        <v>20</v>
      </c>
      <c r="H56" t="s">
        <v>21</v>
      </c>
      <c r="I56" t="str">
        <f t="shared" si="1"/>
        <v>mco_MET_2020_FINESS_REG_NoAge</v>
      </c>
      <c r="J56" t="s">
        <v>26</v>
      </c>
    </row>
    <row r="57" spans="1:10" x14ac:dyDescent="0.35">
      <c r="A57" t="s">
        <v>1</v>
      </c>
      <c r="B57" t="s">
        <v>18</v>
      </c>
      <c r="C57" t="s">
        <v>5</v>
      </c>
      <c r="D57" t="s">
        <v>5</v>
      </c>
      <c r="E57">
        <v>2020</v>
      </c>
      <c r="F57" t="s">
        <v>13</v>
      </c>
      <c r="G57" t="s">
        <v>15</v>
      </c>
      <c r="H57" t="s">
        <v>21</v>
      </c>
      <c r="I57" t="str">
        <f t="shared" si="1"/>
        <v>mco_MET_2020_FINESS_DEP_NoAge</v>
      </c>
      <c r="J57" t="s">
        <v>26</v>
      </c>
    </row>
    <row r="58" spans="1:10" x14ac:dyDescent="0.35">
      <c r="A58" t="s">
        <v>1</v>
      </c>
      <c r="B58" t="s">
        <v>18</v>
      </c>
      <c r="C58" t="s">
        <v>5</v>
      </c>
      <c r="D58" t="s">
        <v>5</v>
      </c>
      <c r="E58">
        <v>2020</v>
      </c>
      <c r="F58" t="s">
        <v>13</v>
      </c>
      <c r="G58" t="s">
        <v>16</v>
      </c>
      <c r="H58" t="s">
        <v>21</v>
      </c>
      <c r="I58" t="str">
        <f t="shared" si="1"/>
        <v>mco_MET_2020_FINESS_PMSI_NoAge</v>
      </c>
      <c r="J58" t="s">
        <v>26</v>
      </c>
    </row>
    <row r="59" spans="1:10" x14ac:dyDescent="0.35">
      <c r="A59" t="s">
        <v>1</v>
      </c>
      <c r="B59" t="s">
        <v>18</v>
      </c>
      <c r="C59" t="s">
        <v>5</v>
      </c>
      <c r="D59" t="s">
        <v>5</v>
      </c>
      <c r="E59">
        <v>2020</v>
      </c>
      <c r="F59" t="s">
        <v>13</v>
      </c>
      <c r="G59" t="s">
        <v>20</v>
      </c>
      <c r="H59" t="s">
        <v>2</v>
      </c>
      <c r="I59" t="str">
        <f t="shared" si="1"/>
        <v>mco_MET_2020_FINESS_REG_Age</v>
      </c>
      <c r="J59" t="s">
        <v>26</v>
      </c>
    </row>
    <row r="60" spans="1:10" x14ac:dyDescent="0.35">
      <c r="A60" t="s">
        <v>1</v>
      </c>
      <c r="B60" t="s">
        <v>18</v>
      </c>
      <c r="C60" t="s">
        <v>5</v>
      </c>
      <c r="D60" t="s">
        <v>5</v>
      </c>
      <c r="E60">
        <v>2020</v>
      </c>
      <c r="F60" t="s">
        <v>13</v>
      </c>
      <c r="G60" t="s">
        <v>15</v>
      </c>
      <c r="H60" t="s">
        <v>2</v>
      </c>
      <c r="I60" t="str">
        <f t="shared" si="1"/>
        <v>mco_MET_2020_FINESS_DEP_Age</v>
      </c>
      <c r="J60" t="s">
        <v>26</v>
      </c>
    </row>
    <row r="61" spans="1:10" x14ac:dyDescent="0.35">
      <c r="A61" t="s">
        <v>1</v>
      </c>
      <c r="B61" t="s">
        <v>18</v>
      </c>
      <c r="C61" t="s">
        <v>5</v>
      </c>
      <c r="D61" t="s">
        <v>5</v>
      </c>
      <c r="E61">
        <v>2020</v>
      </c>
      <c r="F61" t="s">
        <v>13</v>
      </c>
      <c r="G61" t="s">
        <v>16</v>
      </c>
      <c r="H61" t="s">
        <v>2</v>
      </c>
      <c r="I61" t="str">
        <f t="shared" si="1"/>
        <v>mco_MET_2020_FINESS_PMSI_Age</v>
      </c>
      <c r="J61" t="s">
        <v>26</v>
      </c>
    </row>
    <row r="62" spans="1:10" x14ac:dyDescent="0.35">
      <c r="A62" t="s">
        <v>1</v>
      </c>
      <c r="B62" t="s">
        <v>18</v>
      </c>
      <c r="C62" t="s">
        <v>5</v>
      </c>
      <c r="D62" t="s">
        <v>5</v>
      </c>
      <c r="E62">
        <v>2021</v>
      </c>
      <c r="F62" t="s">
        <v>27</v>
      </c>
      <c r="G62" t="s">
        <v>20</v>
      </c>
      <c r="H62" t="s">
        <v>21</v>
      </c>
      <c r="I62" t="str">
        <f t="shared" si="1"/>
        <v>mco_MET_2021_ALL_REG_NoAge</v>
      </c>
      <c r="J62" t="s">
        <v>26</v>
      </c>
    </row>
    <row r="63" spans="1:10" x14ac:dyDescent="0.35">
      <c r="A63" t="s">
        <v>1</v>
      </c>
      <c r="B63" t="s">
        <v>18</v>
      </c>
      <c r="C63" t="s">
        <v>5</v>
      </c>
      <c r="D63" t="s">
        <v>5</v>
      </c>
      <c r="E63">
        <v>2021</v>
      </c>
      <c r="F63" t="s">
        <v>27</v>
      </c>
      <c r="G63" t="s">
        <v>15</v>
      </c>
      <c r="H63" t="s">
        <v>21</v>
      </c>
      <c r="I63" t="str">
        <f t="shared" si="1"/>
        <v>mco_MET_2021_ALL_DEP_NoAge</v>
      </c>
      <c r="J63" t="s">
        <v>26</v>
      </c>
    </row>
    <row r="64" spans="1:10" x14ac:dyDescent="0.35">
      <c r="A64" t="s">
        <v>1</v>
      </c>
      <c r="B64" t="s">
        <v>18</v>
      </c>
      <c r="C64" t="s">
        <v>5</v>
      </c>
      <c r="D64" t="s">
        <v>5</v>
      </c>
      <c r="E64">
        <v>2021</v>
      </c>
      <c r="F64" t="s">
        <v>27</v>
      </c>
      <c r="G64" t="s">
        <v>16</v>
      </c>
      <c r="H64" t="s">
        <v>21</v>
      </c>
      <c r="I64" t="str">
        <f t="shared" si="1"/>
        <v>mco_MET_2021_ALL_PMSI_NoAge</v>
      </c>
      <c r="J64" t="s">
        <v>26</v>
      </c>
    </row>
    <row r="65" spans="1:10" x14ac:dyDescent="0.35">
      <c r="A65" t="s">
        <v>1</v>
      </c>
      <c r="B65" t="s">
        <v>18</v>
      </c>
      <c r="C65" t="s">
        <v>5</v>
      </c>
      <c r="D65" t="s">
        <v>5</v>
      </c>
      <c r="E65">
        <v>2021</v>
      </c>
      <c r="F65" t="s">
        <v>27</v>
      </c>
      <c r="G65" t="s">
        <v>20</v>
      </c>
      <c r="H65" t="s">
        <v>2</v>
      </c>
      <c r="I65" t="str">
        <f t="shared" si="1"/>
        <v>mco_MET_2021_ALL_REG_Age</v>
      </c>
      <c r="J65" t="s">
        <v>26</v>
      </c>
    </row>
    <row r="66" spans="1:10" x14ac:dyDescent="0.35">
      <c r="A66" t="s">
        <v>1</v>
      </c>
      <c r="B66" t="s">
        <v>18</v>
      </c>
      <c r="C66" t="s">
        <v>5</v>
      </c>
      <c r="D66" t="s">
        <v>5</v>
      </c>
      <c r="E66">
        <v>2021</v>
      </c>
      <c r="F66" t="s">
        <v>27</v>
      </c>
      <c r="G66" t="s">
        <v>15</v>
      </c>
      <c r="H66" t="s">
        <v>2</v>
      </c>
      <c r="I66" t="str">
        <f t="shared" ref="I66:I97" si="2">"mco_"&amp;B66&amp;"_"&amp;E66&amp;"_"&amp;F66&amp;"_"&amp;G66&amp;"_"&amp;H66</f>
        <v>mco_MET_2021_ALL_DEP_Age</v>
      </c>
      <c r="J66" t="s">
        <v>26</v>
      </c>
    </row>
    <row r="67" spans="1:10" x14ac:dyDescent="0.35">
      <c r="A67" t="s">
        <v>1</v>
      </c>
      <c r="B67" t="s">
        <v>18</v>
      </c>
      <c r="C67" t="s">
        <v>5</v>
      </c>
      <c r="D67" t="s">
        <v>5</v>
      </c>
      <c r="E67">
        <v>2021</v>
      </c>
      <c r="F67" t="s">
        <v>27</v>
      </c>
      <c r="G67" t="s">
        <v>16</v>
      </c>
      <c r="H67" t="s">
        <v>2</v>
      </c>
      <c r="I67" t="str">
        <f t="shared" si="2"/>
        <v>mco_MET_2021_ALL_PMSI_Age</v>
      </c>
      <c r="J67" t="s">
        <v>26</v>
      </c>
    </row>
    <row r="68" spans="1:10" x14ac:dyDescent="0.35">
      <c r="A68" t="s">
        <v>1</v>
      </c>
      <c r="B68" t="s">
        <v>18</v>
      </c>
      <c r="C68" t="s">
        <v>5</v>
      </c>
      <c r="D68" t="s">
        <v>5</v>
      </c>
      <c r="E68">
        <v>2021</v>
      </c>
      <c r="F68" t="s">
        <v>13</v>
      </c>
      <c r="G68" t="s">
        <v>20</v>
      </c>
      <c r="H68" t="s">
        <v>21</v>
      </c>
      <c r="I68" t="str">
        <f t="shared" si="2"/>
        <v>mco_MET_2021_FINESS_REG_NoAge</v>
      </c>
      <c r="J68" t="s">
        <v>26</v>
      </c>
    </row>
    <row r="69" spans="1:10" x14ac:dyDescent="0.35">
      <c r="A69" t="s">
        <v>1</v>
      </c>
      <c r="B69" t="s">
        <v>18</v>
      </c>
      <c r="C69" t="s">
        <v>5</v>
      </c>
      <c r="D69" t="s">
        <v>5</v>
      </c>
      <c r="E69">
        <v>2021</v>
      </c>
      <c r="F69" t="s">
        <v>13</v>
      </c>
      <c r="G69" t="s">
        <v>15</v>
      </c>
      <c r="H69" t="s">
        <v>21</v>
      </c>
      <c r="I69" t="str">
        <f t="shared" si="2"/>
        <v>mco_MET_2021_FINESS_DEP_NoAge</v>
      </c>
      <c r="J69" t="s">
        <v>26</v>
      </c>
    </row>
    <row r="70" spans="1:10" x14ac:dyDescent="0.35">
      <c r="A70" t="s">
        <v>1</v>
      </c>
      <c r="B70" t="s">
        <v>18</v>
      </c>
      <c r="C70" t="s">
        <v>5</v>
      </c>
      <c r="D70" t="s">
        <v>5</v>
      </c>
      <c r="E70">
        <v>2021</v>
      </c>
      <c r="F70" t="s">
        <v>13</v>
      </c>
      <c r="G70" t="s">
        <v>16</v>
      </c>
      <c r="H70" t="s">
        <v>21</v>
      </c>
      <c r="I70" t="str">
        <f t="shared" si="2"/>
        <v>mco_MET_2021_FINESS_PMSI_NoAge</v>
      </c>
      <c r="J70" t="s">
        <v>26</v>
      </c>
    </row>
    <row r="71" spans="1:10" x14ac:dyDescent="0.35">
      <c r="A71" t="s">
        <v>1</v>
      </c>
      <c r="B71" t="s">
        <v>18</v>
      </c>
      <c r="C71" t="s">
        <v>5</v>
      </c>
      <c r="D71" t="s">
        <v>5</v>
      </c>
      <c r="E71">
        <v>2021</v>
      </c>
      <c r="F71" t="s">
        <v>13</v>
      </c>
      <c r="G71" t="s">
        <v>20</v>
      </c>
      <c r="H71" t="s">
        <v>2</v>
      </c>
      <c r="I71" t="str">
        <f t="shared" si="2"/>
        <v>mco_MET_2021_FINESS_REG_Age</v>
      </c>
      <c r="J71" t="s">
        <v>26</v>
      </c>
    </row>
    <row r="72" spans="1:10" x14ac:dyDescent="0.35">
      <c r="A72" t="s">
        <v>1</v>
      </c>
      <c r="B72" t="s">
        <v>18</v>
      </c>
      <c r="C72" t="s">
        <v>5</v>
      </c>
      <c r="D72" t="s">
        <v>5</v>
      </c>
      <c r="E72">
        <v>2021</v>
      </c>
      <c r="F72" t="s">
        <v>13</v>
      </c>
      <c r="G72" t="s">
        <v>15</v>
      </c>
      <c r="H72" t="s">
        <v>2</v>
      </c>
      <c r="I72" t="str">
        <f t="shared" si="2"/>
        <v>mco_MET_2021_FINESS_DEP_Age</v>
      </c>
      <c r="J72" t="s">
        <v>26</v>
      </c>
    </row>
    <row r="73" spans="1:10" x14ac:dyDescent="0.35">
      <c r="A73" t="s">
        <v>1</v>
      </c>
      <c r="B73" t="s">
        <v>18</v>
      </c>
      <c r="C73" t="s">
        <v>5</v>
      </c>
      <c r="D73" t="s">
        <v>5</v>
      </c>
      <c r="E73">
        <v>2021</v>
      </c>
      <c r="F73" t="s">
        <v>13</v>
      </c>
      <c r="G73" t="s">
        <v>16</v>
      </c>
      <c r="H73" t="s">
        <v>2</v>
      </c>
      <c r="I73" t="str">
        <f t="shared" si="2"/>
        <v>mco_MET_2021_FINESS_PMSI_Age</v>
      </c>
      <c r="J73" t="s">
        <v>26</v>
      </c>
    </row>
    <row r="74" spans="1:10" x14ac:dyDescent="0.35">
      <c r="A74" t="s">
        <v>1</v>
      </c>
      <c r="B74" t="s">
        <v>18</v>
      </c>
      <c r="C74" t="s">
        <v>5</v>
      </c>
      <c r="D74" t="s">
        <v>5</v>
      </c>
      <c r="E74">
        <v>2022</v>
      </c>
      <c r="F74" t="s">
        <v>27</v>
      </c>
      <c r="G74" t="s">
        <v>20</v>
      </c>
      <c r="H74" t="s">
        <v>21</v>
      </c>
      <c r="I74" t="str">
        <f t="shared" si="2"/>
        <v>mco_MET_2022_ALL_REG_NoAge</v>
      </c>
      <c r="J74" t="s">
        <v>26</v>
      </c>
    </row>
    <row r="75" spans="1:10" x14ac:dyDescent="0.35">
      <c r="A75" t="s">
        <v>1</v>
      </c>
      <c r="B75" t="s">
        <v>18</v>
      </c>
      <c r="C75" t="s">
        <v>5</v>
      </c>
      <c r="D75" t="s">
        <v>5</v>
      </c>
      <c r="E75">
        <v>2022</v>
      </c>
      <c r="F75" t="s">
        <v>27</v>
      </c>
      <c r="G75" t="s">
        <v>15</v>
      </c>
      <c r="H75" t="s">
        <v>21</v>
      </c>
      <c r="I75" t="str">
        <f t="shared" si="2"/>
        <v>mco_MET_2022_ALL_DEP_NoAge</v>
      </c>
      <c r="J75" t="s">
        <v>26</v>
      </c>
    </row>
    <row r="76" spans="1:10" x14ac:dyDescent="0.35">
      <c r="A76" t="s">
        <v>1</v>
      </c>
      <c r="B76" t="s">
        <v>18</v>
      </c>
      <c r="C76" t="s">
        <v>5</v>
      </c>
      <c r="D76" t="s">
        <v>5</v>
      </c>
      <c r="E76">
        <v>2022</v>
      </c>
      <c r="F76" t="s">
        <v>27</v>
      </c>
      <c r="G76" t="s">
        <v>16</v>
      </c>
      <c r="H76" t="s">
        <v>21</v>
      </c>
      <c r="I76" t="str">
        <f t="shared" si="2"/>
        <v>mco_MET_2022_ALL_PMSI_NoAge</v>
      </c>
      <c r="J76" t="s">
        <v>26</v>
      </c>
    </row>
    <row r="77" spans="1:10" x14ac:dyDescent="0.35">
      <c r="A77" t="s">
        <v>1</v>
      </c>
      <c r="B77" t="s">
        <v>18</v>
      </c>
      <c r="C77" t="s">
        <v>5</v>
      </c>
      <c r="D77" t="s">
        <v>5</v>
      </c>
      <c r="E77">
        <v>2022</v>
      </c>
      <c r="F77" t="s">
        <v>27</v>
      </c>
      <c r="G77" t="s">
        <v>20</v>
      </c>
      <c r="H77" t="s">
        <v>2</v>
      </c>
      <c r="I77" t="str">
        <f t="shared" si="2"/>
        <v>mco_MET_2022_ALL_REG_Age</v>
      </c>
      <c r="J77" t="s">
        <v>26</v>
      </c>
    </row>
    <row r="78" spans="1:10" x14ac:dyDescent="0.35">
      <c r="A78" t="s">
        <v>1</v>
      </c>
      <c r="B78" t="s">
        <v>18</v>
      </c>
      <c r="C78" t="s">
        <v>5</v>
      </c>
      <c r="D78" t="s">
        <v>5</v>
      </c>
      <c r="E78">
        <v>2022</v>
      </c>
      <c r="F78" t="s">
        <v>27</v>
      </c>
      <c r="G78" t="s">
        <v>15</v>
      </c>
      <c r="H78" t="s">
        <v>2</v>
      </c>
      <c r="I78" t="str">
        <f t="shared" si="2"/>
        <v>mco_MET_2022_ALL_DEP_Age</v>
      </c>
      <c r="J78" t="s">
        <v>26</v>
      </c>
    </row>
    <row r="79" spans="1:10" x14ac:dyDescent="0.35">
      <c r="A79" t="s">
        <v>1</v>
      </c>
      <c r="B79" t="s">
        <v>18</v>
      </c>
      <c r="C79" t="s">
        <v>5</v>
      </c>
      <c r="D79" t="s">
        <v>5</v>
      </c>
      <c r="E79">
        <v>2022</v>
      </c>
      <c r="F79" t="s">
        <v>27</v>
      </c>
      <c r="G79" t="s">
        <v>16</v>
      </c>
      <c r="H79" t="s">
        <v>2</v>
      </c>
      <c r="I79" t="str">
        <f t="shared" si="2"/>
        <v>mco_MET_2022_ALL_PMSI_Age</v>
      </c>
      <c r="J79" t="s">
        <v>26</v>
      </c>
    </row>
    <row r="80" spans="1:10" x14ac:dyDescent="0.35">
      <c r="A80" t="s">
        <v>1</v>
      </c>
      <c r="B80" t="s">
        <v>18</v>
      </c>
      <c r="C80" t="s">
        <v>5</v>
      </c>
      <c r="D80" t="s">
        <v>5</v>
      </c>
      <c r="E80">
        <v>2022</v>
      </c>
      <c r="F80" t="s">
        <v>13</v>
      </c>
      <c r="G80" t="s">
        <v>20</v>
      </c>
      <c r="H80" t="s">
        <v>21</v>
      </c>
      <c r="I80" t="str">
        <f t="shared" si="2"/>
        <v>mco_MET_2022_FINESS_REG_NoAge</v>
      </c>
      <c r="J80" t="s">
        <v>26</v>
      </c>
    </row>
    <row r="81" spans="1:10" x14ac:dyDescent="0.35">
      <c r="A81" t="s">
        <v>1</v>
      </c>
      <c r="B81" t="s">
        <v>18</v>
      </c>
      <c r="C81" t="s">
        <v>5</v>
      </c>
      <c r="D81" t="s">
        <v>5</v>
      </c>
      <c r="E81">
        <v>2022</v>
      </c>
      <c r="F81" t="s">
        <v>13</v>
      </c>
      <c r="G81" t="s">
        <v>15</v>
      </c>
      <c r="H81" t="s">
        <v>21</v>
      </c>
      <c r="I81" t="str">
        <f t="shared" si="2"/>
        <v>mco_MET_2022_FINESS_DEP_NoAge</v>
      </c>
      <c r="J81" t="s">
        <v>26</v>
      </c>
    </row>
    <row r="82" spans="1:10" x14ac:dyDescent="0.35">
      <c r="A82" t="s">
        <v>1</v>
      </c>
      <c r="B82" t="s">
        <v>18</v>
      </c>
      <c r="C82" t="s">
        <v>5</v>
      </c>
      <c r="D82" t="s">
        <v>5</v>
      </c>
      <c r="E82">
        <v>2022</v>
      </c>
      <c r="F82" t="s">
        <v>13</v>
      </c>
      <c r="G82" t="s">
        <v>16</v>
      </c>
      <c r="H82" t="s">
        <v>21</v>
      </c>
      <c r="I82" t="str">
        <f t="shared" si="2"/>
        <v>mco_MET_2022_FINESS_PMSI_NoAge</v>
      </c>
      <c r="J82" t="s">
        <v>26</v>
      </c>
    </row>
    <row r="83" spans="1:10" x14ac:dyDescent="0.35">
      <c r="A83" t="s">
        <v>1</v>
      </c>
      <c r="B83" t="s">
        <v>18</v>
      </c>
      <c r="C83" t="s">
        <v>5</v>
      </c>
      <c r="D83" t="s">
        <v>5</v>
      </c>
      <c r="E83">
        <v>2022</v>
      </c>
      <c r="F83" t="s">
        <v>13</v>
      </c>
      <c r="G83" t="s">
        <v>20</v>
      </c>
      <c r="H83" t="s">
        <v>2</v>
      </c>
      <c r="I83" t="str">
        <f t="shared" si="2"/>
        <v>mco_MET_2022_FINESS_REG_Age</v>
      </c>
      <c r="J83" t="s">
        <v>26</v>
      </c>
    </row>
    <row r="84" spans="1:10" x14ac:dyDescent="0.35">
      <c r="A84" t="s">
        <v>1</v>
      </c>
      <c r="B84" t="s">
        <v>18</v>
      </c>
      <c r="C84" t="s">
        <v>5</v>
      </c>
      <c r="D84" t="s">
        <v>5</v>
      </c>
      <c r="E84">
        <v>2022</v>
      </c>
      <c r="F84" t="s">
        <v>13</v>
      </c>
      <c r="G84" t="s">
        <v>15</v>
      </c>
      <c r="H84" t="s">
        <v>2</v>
      </c>
      <c r="I84" t="str">
        <f t="shared" si="2"/>
        <v>mco_MET_2022_FINESS_DEP_Age</v>
      </c>
      <c r="J84" t="s">
        <v>26</v>
      </c>
    </row>
    <row r="85" spans="1:10" x14ac:dyDescent="0.35">
      <c r="A85" t="s">
        <v>1</v>
      </c>
      <c r="B85" t="s">
        <v>18</v>
      </c>
      <c r="C85" t="s">
        <v>5</v>
      </c>
      <c r="D85" t="s">
        <v>5</v>
      </c>
      <c r="E85">
        <v>2022</v>
      </c>
      <c r="F85" t="s">
        <v>13</v>
      </c>
      <c r="G85" t="s">
        <v>16</v>
      </c>
      <c r="H85" t="s">
        <v>2</v>
      </c>
      <c r="I85" t="str">
        <f t="shared" si="2"/>
        <v>mco_MET_2022_FINESS_PMSI_Age</v>
      </c>
      <c r="J85" t="s">
        <v>26</v>
      </c>
    </row>
    <row r="86" spans="1:10" x14ac:dyDescent="0.35">
      <c r="A86" t="s">
        <v>1</v>
      </c>
      <c r="B86" t="s">
        <v>18</v>
      </c>
      <c r="C86" t="s">
        <v>5</v>
      </c>
      <c r="D86" t="s">
        <v>5</v>
      </c>
      <c r="E86">
        <v>2023</v>
      </c>
      <c r="F86" t="s">
        <v>27</v>
      </c>
      <c r="G86" t="s">
        <v>20</v>
      </c>
      <c r="H86" t="s">
        <v>21</v>
      </c>
      <c r="I86" t="str">
        <f t="shared" si="2"/>
        <v>mco_MET_2023_ALL_REG_NoAge</v>
      </c>
      <c r="J86" t="s">
        <v>26</v>
      </c>
    </row>
    <row r="87" spans="1:10" x14ac:dyDescent="0.35">
      <c r="A87" t="s">
        <v>1</v>
      </c>
      <c r="B87" t="s">
        <v>18</v>
      </c>
      <c r="C87" t="s">
        <v>5</v>
      </c>
      <c r="D87" t="s">
        <v>5</v>
      </c>
      <c r="E87">
        <v>2023</v>
      </c>
      <c r="F87" t="s">
        <v>27</v>
      </c>
      <c r="G87" t="s">
        <v>15</v>
      </c>
      <c r="H87" t="s">
        <v>21</v>
      </c>
      <c r="I87" t="str">
        <f t="shared" si="2"/>
        <v>mco_MET_2023_ALL_DEP_NoAge</v>
      </c>
      <c r="J87" t="s">
        <v>26</v>
      </c>
    </row>
    <row r="88" spans="1:10" x14ac:dyDescent="0.35">
      <c r="A88" t="s">
        <v>1</v>
      </c>
      <c r="B88" t="s">
        <v>18</v>
      </c>
      <c r="C88" t="s">
        <v>5</v>
      </c>
      <c r="D88" t="s">
        <v>5</v>
      </c>
      <c r="E88">
        <v>2023</v>
      </c>
      <c r="F88" t="s">
        <v>27</v>
      </c>
      <c r="G88" t="s">
        <v>16</v>
      </c>
      <c r="H88" t="s">
        <v>21</v>
      </c>
      <c r="I88" t="str">
        <f t="shared" si="2"/>
        <v>mco_MET_2023_ALL_PMSI_NoAge</v>
      </c>
      <c r="J88" t="s">
        <v>26</v>
      </c>
    </row>
    <row r="89" spans="1:10" x14ac:dyDescent="0.35">
      <c r="A89" t="s">
        <v>1</v>
      </c>
      <c r="B89" t="s">
        <v>18</v>
      </c>
      <c r="C89" t="s">
        <v>5</v>
      </c>
      <c r="D89" t="s">
        <v>5</v>
      </c>
      <c r="E89">
        <v>2023</v>
      </c>
      <c r="F89" t="s">
        <v>27</v>
      </c>
      <c r="G89" t="s">
        <v>20</v>
      </c>
      <c r="H89" t="s">
        <v>2</v>
      </c>
      <c r="I89" t="str">
        <f t="shared" si="2"/>
        <v>mco_MET_2023_ALL_REG_Age</v>
      </c>
      <c r="J89" t="s">
        <v>26</v>
      </c>
    </row>
    <row r="90" spans="1:10" x14ac:dyDescent="0.35">
      <c r="A90" t="s">
        <v>1</v>
      </c>
      <c r="B90" t="s">
        <v>18</v>
      </c>
      <c r="C90" t="s">
        <v>5</v>
      </c>
      <c r="D90" t="s">
        <v>5</v>
      </c>
      <c r="E90">
        <v>2023</v>
      </c>
      <c r="F90" t="s">
        <v>27</v>
      </c>
      <c r="G90" t="s">
        <v>15</v>
      </c>
      <c r="H90" t="s">
        <v>2</v>
      </c>
      <c r="I90" t="str">
        <f t="shared" si="2"/>
        <v>mco_MET_2023_ALL_DEP_Age</v>
      </c>
      <c r="J90" t="s">
        <v>26</v>
      </c>
    </row>
    <row r="91" spans="1:10" x14ac:dyDescent="0.35">
      <c r="A91" t="s">
        <v>1</v>
      </c>
      <c r="B91" t="s">
        <v>18</v>
      </c>
      <c r="C91" t="s">
        <v>5</v>
      </c>
      <c r="D91" t="s">
        <v>5</v>
      </c>
      <c r="E91">
        <v>2023</v>
      </c>
      <c r="F91" t="s">
        <v>27</v>
      </c>
      <c r="G91" t="s">
        <v>16</v>
      </c>
      <c r="H91" t="s">
        <v>2</v>
      </c>
      <c r="I91" t="str">
        <f t="shared" si="2"/>
        <v>mco_MET_2023_ALL_PMSI_Age</v>
      </c>
      <c r="J91" t="s">
        <v>26</v>
      </c>
    </row>
    <row r="92" spans="1:10" x14ac:dyDescent="0.35">
      <c r="A92" t="s">
        <v>1</v>
      </c>
      <c r="B92" t="s">
        <v>18</v>
      </c>
      <c r="C92" t="s">
        <v>5</v>
      </c>
      <c r="D92" t="s">
        <v>5</v>
      </c>
      <c r="E92">
        <v>2023</v>
      </c>
      <c r="F92" t="s">
        <v>13</v>
      </c>
      <c r="G92" t="s">
        <v>20</v>
      </c>
      <c r="H92" t="s">
        <v>21</v>
      </c>
      <c r="I92" t="str">
        <f t="shared" si="2"/>
        <v>mco_MET_2023_FINESS_REG_NoAge</v>
      </c>
      <c r="J92" t="s">
        <v>26</v>
      </c>
    </row>
    <row r="93" spans="1:10" x14ac:dyDescent="0.35">
      <c r="A93" t="s">
        <v>1</v>
      </c>
      <c r="B93" t="s">
        <v>18</v>
      </c>
      <c r="C93" t="s">
        <v>5</v>
      </c>
      <c r="D93" t="s">
        <v>5</v>
      </c>
      <c r="E93">
        <v>2023</v>
      </c>
      <c r="F93" t="s">
        <v>13</v>
      </c>
      <c r="G93" t="s">
        <v>15</v>
      </c>
      <c r="H93" t="s">
        <v>21</v>
      </c>
      <c r="I93" t="str">
        <f t="shared" si="2"/>
        <v>mco_MET_2023_FINESS_DEP_NoAge</v>
      </c>
      <c r="J93" t="s">
        <v>26</v>
      </c>
    </row>
    <row r="94" spans="1:10" x14ac:dyDescent="0.35">
      <c r="A94" t="s">
        <v>1</v>
      </c>
      <c r="B94" t="s">
        <v>18</v>
      </c>
      <c r="C94" t="s">
        <v>5</v>
      </c>
      <c r="D94" t="s">
        <v>5</v>
      </c>
      <c r="E94">
        <v>2023</v>
      </c>
      <c r="F94" t="s">
        <v>13</v>
      </c>
      <c r="G94" t="s">
        <v>16</v>
      </c>
      <c r="H94" t="s">
        <v>21</v>
      </c>
      <c r="I94" t="str">
        <f t="shared" si="2"/>
        <v>mco_MET_2023_FINESS_PMSI_NoAge</v>
      </c>
      <c r="J94" t="s">
        <v>26</v>
      </c>
    </row>
    <row r="95" spans="1:10" x14ac:dyDescent="0.35">
      <c r="A95" t="s">
        <v>1</v>
      </c>
      <c r="B95" t="s">
        <v>18</v>
      </c>
      <c r="C95" t="s">
        <v>5</v>
      </c>
      <c r="D95" t="s">
        <v>5</v>
      </c>
      <c r="E95">
        <v>2023</v>
      </c>
      <c r="F95" t="s">
        <v>13</v>
      </c>
      <c r="G95" t="s">
        <v>20</v>
      </c>
      <c r="H95" t="s">
        <v>2</v>
      </c>
      <c r="I95" t="str">
        <f t="shared" si="2"/>
        <v>mco_MET_2023_FINESS_REG_Age</v>
      </c>
      <c r="J95" t="s">
        <v>26</v>
      </c>
    </row>
    <row r="96" spans="1:10" x14ac:dyDescent="0.35">
      <c r="A96" t="s">
        <v>1</v>
      </c>
      <c r="B96" t="s">
        <v>18</v>
      </c>
      <c r="C96" t="s">
        <v>5</v>
      </c>
      <c r="D96" t="s">
        <v>5</v>
      </c>
      <c r="E96">
        <v>2023</v>
      </c>
      <c r="F96" t="s">
        <v>13</v>
      </c>
      <c r="G96" t="s">
        <v>15</v>
      </c>
      <c r="H96" t="s">
        <v>2</v>
      </c>
      <c r="I96" t="str">
        <f t="shared" si="2"/>
        <v>mco_MET_2023_FINESS_DEP_Age</v>
      </c>
      <c r="J96" t="s">
        <v>26</v>
      </c>
    </row>
    <row r="97" spans="1:10" x14ac:dyDescent="0.35">
      <c r="A97" t="s">
        <v>1</v>
      </c>
      <c r="B97" t="s">
        <v>18</v>
      </c>
      <c r="C97" t="s">
        <v>5</v>
      </c>
      <c r="D97" t="s">
        <v>5</v>
      </c>
      <c r="E97">
        <v>2023</v>
      </c>
      <c r="F97" t="s">
        <v>13</v>
      </c>
      <c r="G97" t="s">
        <v>16</v>
      </c>
      <c r="H97" t="s">
        <v>2</v>
      </c>
      <c r="I97" t="str">
        <f t="shared" si="2"/>
        <v>mco_MET_2023_FINESS_PMSI_Age</v>
      </c>
      <c r="J97" t="s">
        <v>26</v>
      </c>
    </row>
    <row r="98" spans="1:10" x14ac:dyDescent="0.35">
      <c r="A98" t="s">
        <v>1</v>
      </c>
      <c r="B98" t="s">
        <v>18</v>
      </c>
      <c r="C98" t="s">
        <v>5</v>
      </c>
      <c r="D98" t="s">
        <v>5</v>
      </c>
      <c r="E98">
        <v>2024</v>
      </c>
      <c r="F98" t="s">
        <v>27</v>
      </c>
      <c r="G98" t="s">
        <v>20</v>
      </c>
      <c r="H98" t="s">
        <v>21</v>
      </c>
      <c r="I98" t="str">
        <f t="shared" ref="I98:I121" si="3">"mco_"&amp;B98&amp;"_"&amp;E98&amp;"_"&amp;F98&amp;"_"&amp;G98&amp;"_"&amp;H98</f>
        <v>mco_MET_2024_ALL_REG_NoAge</v>
      </c>
      <c r="J98" t="s">
        <v>26</v>
      </c>
    </row>
    <row r="99" spans="1:10" x14ac:dyDescent="0.35">
      <c r="A99" t="s">
        <v>1</v>
      </c>
      <c r="B99" t="s">
        <v>18</v>
      </c>
      <c r="C99" t="s">
        <v>5</v>
      </c>
      <c r="D99" t="s">
        <v>5</v>
      </c>
      <c r="E99">
        <v>2024</v>
      </c>
      <c r="F99" t="s">
        <v>27</v>
      </c>
      <c r="G99" t="s">
        <v>15</v>
      </c>
      <c r="H99" t="s">
        <v>21</v>
      </c>
      <c r="I99" t="str">
        <f t="shared" si="3"/>
        <v>mco_MET_2024_ALL_DEP_NoAge</v>
      </c>
      <c r="J99" t="s">
        <v>26</v>
      </c>
    </row>
    <row r="100" spans="1:10" x14ac:dyDescent="0.35">
      <c r="A100" t="s">
        <v>1</v>
      </c>
      <c r="B100" t="s">
        <v>18</v>
      </c>
      <c r="C100" t="s">
        <v>5</v>
      </c>
      <c r="D100" t="s">
        <v>5</v>
      </c>
      <c r="E100">
        <v>2024</v>
      </c>
      <c r="F100" t="s">
        <v>27</v>
      </c>
      <c r="G100" t="s">
        <v>16</v>
      </c>
      <c r="H100" t="s">
        <v>21</v>
      </c>
      <c r="I100" t="str">
        <f t="shared" si="3"/>
        <v>mco_MET_2024_ALL_PMSI_NoAge</v>
      </c>
      <c r="J100" t="s">
        <v>26</v>
      </c>
    </row>
    <row r="101" spans="1:10" x14ac:dyDescent="0.35">
      <c r="A101" t="s">
        <v>1</v>
      </c>
      <c r="B101" t="s">
        <v>18</v>
      </c>
      <c r="C101" t="s">
        <v>5</v>
      </c>
      <c r="D101" t="s">
        <v>5</v>
      </c>
      <c r="E101">
        <v>2024</v>
      </c>
      <c r="F101" t="s">
        <v>27</v>
      </c>
      <c r="G101" t="s">
        <v>20</v>
      </c>
      <c r="H101" t="s">
        <v>2</v>
      </c>
      <c r="I101" t="str">
        <f t="shared" si="3"/>
        <v>mco_MET_2024_ALL_REG_Age</v>
      </c>
      <c r="J101" t="s">
        <v>26</v>
      </c>
    </row>
    <row r="102" spans="1:10" x14ac:dyDescent="0.35">
      <c r="A102" t="s">
        <v>1</v>
      </c>
      <c r="B102" t="s">
        <v>18</v>
      </c>
      <c r="C102" t="s">
        <v>5</v>
      </c>
      <c r="D102" t="s">
        <v>5</v>
      </c>
      <c r="E102">
        <v>2024</v>
      </c>
      <c r="F102" t="s">
        <v>27</v>
      </c>
      <c r="G102" t="s">
        <v>15</v>
      </c>
      <c r="H102" t="s">
        <v>2</v>
      </c>
      <c r="I102" t="str">
        <f t="shared" si="3"/>
        <v>mco_MET_2024_ALL_DEP_Age</v>
      </c>
      <c r="J102" t="s">
        <v>26</v>
      </c>
    </row>
    <row r="103" spans="1:10" x14ac:dyDescent="0.35">
      <c r="A103" t="s">
        <v>1</v>
      </c>
      <c r="B103" t="s">
        <v>18</v>
      </c>
      <c r="C103" t="s">
        <v>5</v>
      </c>
      <c r="D103" t="s">
        <v>5</v>
      </c>
      <c r="E103">
        <v>2024</v>
      </c>
      <c r="F103" t="s">
        <v>27</v>
      </c>
      <c r="G103" t="s">
        <v>16</v>
      </c>
      <c r="H103" t="s">
        <v>2</v>
      </c>
      <c r="I103" t="str">
        <f t="shared" si="3"/>
        <v>mco_MET_2024_ALL_PMSI_Age</v>
      </c>
      <c r="J103" t="s">
        <v>26</v>
      </c>
    </row>
    <row r="104" spans="1:10" x14ac:dyDescent="0.35">
      <c r="A104" t="s">
        <v>1</v>
      </c>
      <c r="B104" t="s">
        <v>18</v>
      </c>
      <c r="C104" t="s">
        <v>5</v>
      </c>
      <c r="D104" t="s">
        <v>5</v>
      </c>
      <c r="E104">
        <v>2024</v>
      </c>
      <c r="F104" t="s">
        <v>13</v>
      </c>
      <c r="G104" t="s">
        <v>20</v>
      </c>
      <c r="H104" t="s">
        <v>21</v>
      </c>
      <c r="I104" t="str">
        <f t="shared" si="3"/>
        <v>mco_MET_2024_FINESS_REG_NoAge</v>
      </c>
      <c r="J104" t="s">
        <v>26</v>
      </c>
    </row>
    <row r="105" spans="1:10" x14ac:dyDescent="0.35">
      <c r="A105" t="s">
        <v>1</v>
      </c>
      <c r="B105" t="s">
        <v>18</v>
      </c>
      <c r="C105" t="s">
        <v>5</v>
      </c>
      <c r="D105" t="s">
        <v>5</v>
      </c>
      <c r="E105">
        <v>2024</v>
      </c>
      <c r="F105" t="s">
        <v>13</v>
      </c>
      <c r="G105" t="s">
        <v>15</v>
      </c>
      <c r="H105" t="s">
        <v>21</v>
      </c>
      <c r="I105" t="str">
        <f t="shared" si="3"/>
        <v>mco_MET_2024_FINESS_DEP_NoAge</v>
      </c>
      <c r="J105" t="s">
        <v>26</v>
      </c>
    </row>
    <row r="106" spans="1:10" x14ac:dyDescent="0.35">
      <c r="A106" t="s">
        <v>1</v>
      </c>
      <c r="B106" t="s">
        <v>18</v>
      </c>
      <c r="C106" t="s">
        <v>5</v>
      </c>
      <c r="D106" t="s">
        <v>5</v>
      </c>
      <c r="E106">
        <v>2024</v>
      </c>
      <c r="F106" t="s">
        <v>13</v>
      </c>
      <c r="G106" t="s">
        <v>16</v>
      </c>
      <c r="H106" t="s">
        <v>21</v>
      </c>
      <c r="I106" t="str">
        <f t="shared" si="3"/>
        <v>mco_MET_2024_FINESS_PMSI_NoAge</v>
      </c>
      <c r="J106" t="s">
        <v>26</v>
      </c>
    </row>
    <row r="107" spans="1:10" x14ac:dyDescent="0.35">
      <c r="A107" t="s">
        <v>1</v>
      </c>
      <c r="B107" t="s">
        <v>18</v>
      </c>
      <c r="C107" t="s">
        <v>5</v>
      </c>
      <c r="D107" t="s">
        <v>5</v>
      </c>
      <c r="E107">
        <v>2024</v>
      </c>
      <c r="F107" t="s">
        <v>13</v>
      </c>
      <c r="G107" t="s">
        <v>20</v>
      </c>
      <c r="H107" t="s">
        <v>2</v>
      </c>
      <c r="I107" t="str">
        <f t="shared" si="3"/>
        <v>mco_MET_2024_FINESS_REG_Age</v>
      </c>
      <c r="J107" t="s">
        <v>26</v>
      </c>
    </row>
    <row r="108" spans="1:10" x14ac:dyDescent="0.35">
      <c r="A108" t="s">
        <v>1</v>
      </c>
      <c r="B108" t="s">
        <v>18</v>
      </c>
      <c r="C108" t="s">
        <v>5</v>
      </c>
      <c r="D108" t="s">
        <v>5</v>
      </c>
      <c r="E108">
        <v>2024</v>
      </c>
      <c r="F108" t="s">
        <v>13</v>
      </c>
      <c r="G108" t="s">
        <v>15</v>
      </c>
      <c r="H108" t="s">
        <v>2</v>
      </c>
      <c r="I108" t="str">
        <f t="shared" si="3"/>
        <v>mco_MET_2024_FINESS_DEP_Age</v>
      </c>
      <c r="J108" t="s">
        <v>26</v>
      </c>
    </row>
    <row r="109" spans="1:10" x14ac:dyDescent="0.35">
      <c r="A109" t="s">
        <v>1</v>
      </c>
      <c r="B109" t="s">
        <v>18</v>
      </c>
      <c r="C109" t="s">
        <v>5</v>
      </c>
      <c r="D109" t="s">
        <v>5</v>
      </c>
      <c r="E109">
        <v>2024</v>
      </c>
      <c r="F109" t="s">
        <v>13</v>
      </c>
      <c r="G109" t="s">
        <v>16</v>
      </c>
      <c r="H109" t="s">
        <v>2</v>
      </c>
      <c r="I109" t="str">
        <f t="shared" si="3"/>
        <v>mco_MET_2024_FINESS_PMSI_Age</v>
      </c>
      <c r="J109" t="s">
        <v>26</v>
      </c>
    </row>
    <row r="110" spans="1:10" x14ac:dyDescent="0.35">
      <c r="A110" t="s">
        <v>1</v>
      </c>
      <c r="B110" t="s">
        <v>18</v>
      </c>
      <c r="C110" t="s">
        <v>5</v>
      </c>
      <c r="D110" t="s">
        <v>5</v>
      </c>
      <c r="E110">
        <v>2025</v>
      </c>
      <c r="F110" t="s">
        <v>27</v>
      </c>
      <c r="G110" t="s">
        <v>20</v>
      </c>
      <c r="H110" t="s">
        <v>21</v>
      </c>
      <c r="I110" t="str">
        <f t="shared" si="3"/>
        <v>mco_MET_2025_ALL_REG_NoAge</v>
      </c>
      <c r="J110" t="s">
        <v>26</v>
      </c>
    </row>
    <row r="111" spans="1:10" x14ac:dyDescent="0.35">
      <c r="A111" t="s">
        <v>1</v>
      </c>
      <c r="B111" t="s">
        <v>18</v>
      </c>
      <c r="C111" t="s">
        <v>5</v>
      </c>
      <c r="D111" t="s">
        <v>5</v>
      </c>
      <c r="E111">
        <v>2025</v>
      </c>
      <c r="F111" t="s">
        <v>27</v>
      </c>
      <c r="G111" t="s">
        <v>15</v>
      </c>
      <c r="H111" t="s">
        <v>21</v>
      </c>
      <c r="I111" t="str">
        <f t="shared" si="3"/>
        <v>mco_MET_2025_ALL_DEP_NoAge</v>
      </c>
      <c r="J111" t="s">
        <v>26</v>
      </c>
    </row>
    <row r="112" spans="1:10" x14ac:dyDescent="0.35">
      <c r="A112" t="s">
        <v>1</v>
      </c>
      <c r="B112" t="s">
        <v>18</v>
      </c>
      <c r="C112" t="s">
        <v>5</v>
      </c>
      <c r="D112" t="s">
        <v>5</v>
      </c>
      <c r="E112">
        <v>2025</v>
      </c>
      <c r="F112" t="s">
        <v>27</v>
      </c>
      <c r="G112" t="s">
        <v>16</v>
      </c>
      <c r="H112" t="s">
        <v>21</v>
      </c>
      <c r="I112" t="str">
        <f t="shared" si="3"/>
        <v>mco_MET_2025_ALL_PMSI_NoAge</v>
      </c>
      <c r="J112" t="s">
        <v>26</v>
      </c>
    </row>
    <row r="113" spans="1:10" x14ac:dyDescent="0.35">
      <c r="A113" t="s">
        <v>1</v>
      </c>
      <c r="B113" t="s">
        <v>18</v>
      </c>
      <c r="C113" t="s">
        <v>5</v>
      </c>
      <c r="D113" t="s">
        <v>5</v>
      </c>
      <c r="E113">
        <v>2025</v>
      </c>
      <c r="F113" t="s">
        <v>27</v>
      </c>
      <c r="G113" t="s">
        <v>20</v>
      </c>
      <c r="H113" t="s">
        <v>2</v>
      </c>
      <c r="I113" t="str">
        <f t="shared" si="3"/>
        <v>mco_MET_2025_ALL_REG_Age</v>
      </c>
      <c r="J113" t="s">
        <v>26</v>
      </c>
    </row>
    <row r="114" spans="1:10" x14ac:dyDescent="0.35">
      <c r="A114" t="s">
        <v>1</v>
      </c>
      <c r="B114" t="s">
        <v>18</v>
      </c>
      <c r="C114" t="s">
        <v>5</v>
      </c>
      <c r="D114" t="s">
        <v>5</v>
      </c>
      <c r="E114">
        <v>2025</v>
      </c>
      <c r="F114" t="s">
        <v>27</v>
      </c>
      <c r="G114" t="s">
        <v>15</v>
      </c>
      <c r="H114" t="s">
        <v>2</v>
      </c>
      <c r="I114" t="str">
        <f t="shared" si="3"/>
        <v>mco_MET_2025_ALL_DEP_Age</v>
      </c>
      <c r="J114" t="s">
        <v>26</v>
      </c>
    </row>
    <row r="115" spans="1:10" x14ac:dyDescent="0.35">
      <c r="A115" t="s">
        <v>1</v>
      </c>
      <c r="B115" t="s">
        <v>18</v>
      </c>
      <c r="C115" t="s">
        <v>5</v>
      </c>
      <c r="D115" t="s">
        <v>5</v>
      </c>
      <c r="E115">
        <v>2025</v>
      </c>
      <c r="F115" t="s">
        <v>27</v>
      </c>
      <c r="G115" t="s">
        <v>16</v>
      </c>
      <c r="H115" t="s">
        <v>2</v>
      </c>
      <c r="I115" t="str">
        <f t="shared" si="3"/>
        <v>mco_MET_2025_ALL_PMSI_Age</v>
      </c>
      <c r="J115" t="s">
        <v>26</v>
      </c>
    </row>
    <row r="116" spans="1:10" x14ac:dyDescent="0.35">
      <c r="A116" t="s">
        <v>1</v>
      </c>
      <c r="B116" t="s">
        <v>18</v>
      </c>
      <c r="C116" t="s">
        <v>5</v>
      </c>
      <c r="D116" t="s">
        <v>5</v>
      </c>
      <c r="E116">
        <v>2025</v>
      </c>
      <c r="F116" t="s">
        <v>13</v>
      </c>
      <c r="G116" t="s">
        <v>20</v>
      </c>
      <c r="H116" t="s">
        <v>21</v>
      </c>
      <c r="I116" t="str">
        <f t="shared" si="3"/>
        <v>mco_MET_2025_FINESS_REG_NoAge</v>
      </c>
      <c r="J116" t="s">
        <v>26</v>
      </c>
    </row>
    <row r="117" spans="1:10" x14ac:dyDescent="0.35">
      <c r="A117" t="s">
        <v>1</v>
      </c>
      <c r="B117" t="s">
        <v>18</v>
      </c>
      <c r="C117" t="s">
        <v>5</v>
      </c>
      <c r="D117" t="s">
        <v>5</v>
      </c>
      <c r="E117">
        <v>2025</v>
      </c>
      <c r="F117" t="s">
        <v>13</v>
      </c>
      <c r="G117" t="s">
        <v>15</v>
      </c>
      <c r="H117" t="s">
        <v>21</v>
      </c>
      <c r="I117" t="str">
        <f t="shared" si="3"/>
        <v>mco_MET_2025_FINESS_DEP_NoAge</v>
      </c>
      <c r="J117" t="s">
        <v>26</v>
      </c>
    </row>
    <row r="118" spans="1:10" x14ac:dyDescent="0.35">
      <c r="A118" t="s">
        <v>1</v>
      </c>
      <c r="B118" t="s">
        <v>18</v>
      </c>
      <c r="C118" t="s">
        <v>5</v>
      </c>
      <c r="D118" t="s">
        <v>5</v>
      </c>
      <c r="E118">
        <v>2025</v>
      </c>
      <c r="F118" t="s">
        <v>13</v>
      </c>
      <c r="G118" t="s">
        <v>16</v>
      </c>
      <c r="H118" t="s">
        <v>21</v>
      </c>
      <c r="I118" t="str">
        <f t="shared" si="3"/>
        <v>mco_MET_2025_FINESS_PMSI_NoAge</v>
      </c>
      <c r="J118" t="s">
        <v>26</v>
      </c>
    </row>
    <row r="119" spans="1:10" x14ac:dyDescent="0.35">
      <c r="A119" t="s">
        <v>1</v>
      </c>
      <c r="B119" t="s">
        <v>18</v>
      </c>
      <c r="C119" t="s">
        <v>5</v>
      </c>
      <c r="D119" t="s">
        <v>5</v>
      </c>
      <c r="E119">
        <v>2025</v>
      </c>
      <c r="F119" t="s">
        <v>13</v>
      </c>
      <c r="G119" t="s">
        <v>20</v>
      </c>
      <c r="H119" t="s">
        <v>2</v>
      </c>
      <c r="I119" t="str">
        <f t="shared" si="3"/>
        <v>mco_MET_2025_FINESS_REG_Age</v>
      </c>
      <c r="J119" t="s">
        <v>26</v>
      </c>
    </row>
    <row r="120" spans="1:10" x14ac:dyDescent="0.35">
      <c r="A120" t="s">
        <v>1</v>
      </c>
      <c r="B120" t="s">
        <v>18</v>
      </c>
      <c r="C120" t="s">
        <v>5</v>
      </c>
      <c r="D120" t="s">
        <v>5</v>
      </c>
      <c r="E120">
        <v>2025</v>
      </c>
      <c r="F120" t="s">
        <v>13</v>
      </c>
      <c r="G120" t="s">
        <v>15</v>
      </c>
      <c r="H120" t="s">
        <v>2</v>
      </c>
      <c r="I120" t="str">
        <f t="shared" si="3"/>
        <v>mco_MET_2025_FINESS_DEP_Age</v>
      </c>
      <c r="J120" t="s">
        <v>26</v>
      </c>
    </row>
    <row r="121" spans="1:10" x14ac:dyDescent="0.35">
      <c r="A121" t="s">
        <v>1</v>
      </c>
      <c r="B121" t="s">
        <v>18</v>
      </c>
      <c r="C121" t="s">
        <v>5</v>
      </c>
      <c r="D121" t="s">
        <v>5</v>
      </c>
      <c r="E121">
        <v>2025</v>
      </c>
      <c r="F121" t="s">
        <v>13</v>
      </c>
      <c r="G121" t="s">
        <v>16</v>
      </c>
      <c r="H121" t="s">
        <v>2</v>
      </c>
      <c r="I121" t="str">
        <f t="shared" si="3"/>
        <v>mco_MET_2025_FINESS_PMSI_Age</v>
      </c>
      <c r="J121" t="s">
        <v>26</v>
      </c>
    </row>
    <row r="122" spans="1:10" x14ac:dyDescent="0.35">
      <c r="A122" t="s">
        <v>1</v>
      </c>
      <c r="B122" t="s">
        <v>19</v>
      </c>
      <c r="C122" t="s">
        <v>5</v>
      </c>
      <c r="D122" t="s">
        <v>5</v>
      </c>
      <c r="E122">
        <v>2016</v>
      </c>
      <c r="F122" t="s">
        <v>27</v>
      </c>
      <c r="G122" t="s">
        <v>15</v>
      </c>
      <c r="H122" t="s">
        <v>21</v>
      </c>
      <c r="I122" t="s">
        <v>29</v>
      </c>
      <c r="J122" t="s">
        <v>26</v>
      </c>
    </row>
    <row r="123" spans="1:10" x14ac:dyDescent="0.35">
      <c r="A123" t="s">
        <v>1</v>
      </c>
      <c r="B123" t="s">
        <v>19</v>
      </c>
      <c r="C123" t="s">
        <v>5</v>
      </c>
      <c r="D123" t="s">
        <v>5</v>
      </c>
      <c r="E123">
        <v>2016</v>
      </c>
      <c r="F123" t="s">
        <v>13</v>
      </c>
      <c r="G123" t="s">
        <v>15</v>
      </c>
      <c r="H123" t="s">
        <v>21</v>
      </c>
      <c r="I123" t="s">
        <v>30</v>
      </c>
      <c r="J123" t="s">
        <v>26</v>
      </c>
    </row>
    <row r="124" spans="1:10" x14ac:dyDescent="0.35">
      <c r="A124" t="s">
        <v>1</v>
      </c>
      <c r="B124" t="s">
        <v>19</v>
      </c>
      <c r="C124" t="s">
        <v>5</v>
      </c>
      <c r="D124" t="s">
        <v>5</v>
      </c>
      <c r="E124">
        <v>2017</v>
      </c>
      <c r="F124" t="s">
        <v>27</v>
      </c>
      <c r="G124" t="s">
        <v>15</v>
      </c>
      <c r="H124" t="s">
        <v>21</v>
      </c>
      <c r="I124" t="s">
        <v>31</v>
      </c>
      <c r="J124" t="s">
        <v>26</v>
      </c>
    </row>
    <row r="125" spans="1:10" x14ac:dyDescent="0.35">
      <c r="A125" t="s">
        <v>1</v>
      </c>
      <c r="B125" t="s">
        <v>19</v>
      </c>
      <c r="C125" t="s">
        <v>5</v>
      </c>
      <c r="D125" t="s">
        <v>5</v>
      </c>
      <c r="E125">
        <v>2017</v>
      </c>
      <c r="F125" t="s">
        <v>13</v>
      </c>
      <c r="G125" t="s">
        <v>15</v>
      </c>
      <c r="H125" t="s">
        <v>21</v>
      </c>
      <c r="I125" t="s">
        <v>32</v>
      </c>
      <c r="J125" t="s">
        <v>26</v>
      </c>
    </row>
    <row r="126" spans="1:10" x14ac:dyDescent="0.35">
      <c r="A126" t="s">
        <v>1</v>
      </c>
      <c r="B126" t="s">
        <v>19</v>
      </c>
      <c r="C126" t="s">
        <v>5</v>
      </c>
      <c r="D126" t="s">
        <v>5</v>
      </c>
      <c r="E126">
        <v>2018</v>
      </c>
      <c r="F126" t="s">
        <v>27</v>
      </c>
      <c r="G126" t="s">
        <v>15</v>
      </c>
      <c r="H126" t="s">
        <v>21</v>
      </c>
      <c r="I126" t="s">
        <v>33</v>
      </c>
      <c r="J126" t="s">
        <v>26</v>
      </c>
    </row>
    <row r="127" spans="1:10" x14ac:dyDescent="0.35">
      <c r="A127" t="s">
        <v>1</v>
      </c>
      <c r="B127" t="s">
        <v>19</v>
      </c>
      <c r="C127" t="s">
        <v>5</v>
      </c>
      <c r="D127" t="s">
        <v>5</v>
      </c>
      <c r="E127">
        <v>2018</v>
      </c>
      <c r="F127" t="s">
        <v>13</v>
      </c>
      <c r="G127" t="s">
        <v>15</v>
      </c>
      <c r="H127" t="s">
        <v>21</v>
      </c>
      <c r="I127" t="s">
        <v>34</v>
      </c>
      <c r="J127" t="s">
        <v>26</v>
      </c>
    </row>
    <row r="128" spans="1:10" x14ac:dyDescent="0.35">
      <c r="A128" t="s">
        <v>1</v>
      </c>
      <c r="B128" t="s">
        <v>19</v>
      </c>
      <c r="C128" t="s">
        <v>5</v>
      </c>
      <c r="D128" t="s">
        <v>5</v>
      </c>
      <c r="E128">
        <v>2019</v>
      </c>
      <c r="F128" t="s">
        <v>27</v>
      </c>
      <c r="G128" t="s">
        <v>15</v>
      </c>
      <c r="H128" t="s">
        <v>21</v>
      </c>
      <c r="I128" t="s">
        <v>35</v>
      </c>
      <c r="J128" t="s">
        <v>26</v>
      </c>
    </row>
    <row r="129" spans="1:10" x14ac:dyDescent="0.35">
      <c r="A129" t="s">
        <v>1</v>
      </c>
      <c r="B129" t="s">
        <v>19</v>
      </c>
      <c r="C129" t="s">
        <v>5</v>
      </c>
      <c r="D129" t="s">
        <v>5</v>
      </c>
      <c r="E129">
        <v>2019</v>
      </c>
      <c r="F129" t="s">
        <v>13</v>
      </c>
      <c r="G129" t="s">
        <v>15</v>
      </c>
      <c r="H129" t="s">
        <v>21</v>
      </c>
      <c r="I129" t="s">
        <v>36</v>
      </c>
      <c r="J129" t="s">
        <v>26</v>
      </c>
    </row>
    <row r="130" spans="1:10" x14ac:dyDescent="0.35">
      <c r="A130" t="s">
        <v>1</v>
      </c>
      <c r="B130" t="s">
        <v>19</v>
      </c>
      <c r="C130" t="s">
        <v>5</v>
      </c>
      <c r="D130" t="s">
        <v>5</v>
      </c>
      <c r="E130">
        <v>2020</v>
      </c>
      <c r="F130" t="s">
        <v>27</v>
      </c>
      <c r="G130" t="s">
        <v>15</v>
      </c>
      <c r="H130" t="s">
        <v>21</v>
      </c>
      <c r="I130" t="s">
        <v>37</v>
      </c>
      <c r="J130" t="s">
        <v>26</v>
      </c>
    </row>
    <row r="131" spans="1:10" x14ac:dyDescent="0.35">
      <c r="A131" t="s">
        <v>1</v>
      </c>
      <c r="B131" t="s">
        <v>19</v>
      </c>
      <c r="C131" t="s">
        <v>5</v>
      </c>
      <c r="D131" t="s">
        <v>5</v>
      </c>
      <c r="E131">
        <v>2020</v>
      </c>
      <c r="F131" t="s">
        <v>13</v>
      </c>
      <c r="G131" t="s">
        <v>15</v>
      </c>
      <c r="H131" t="s">
        <v>21</v>
      </c>
      <c r="I131" t="s">
        <v>38</v>
      </c>
      <c r="J131" t="s">
        <v>26</v>
      </c>
    </row>
    <row r="132" spans="1:10" x14ac:dyDescent="0.35">
      <c r="A132" t="s">
        <v>1</v>
      </c>
      <c r="B132" t="s">
        <v>19</v>
      </c>
      <c r="C132" t="s">
        <v>5</v>
      </c>
      <c r="D132" t="s">
        <v>5</v>
      </c>
      <c r="E132">
        <v>2021</v>
      </c>
      <c r="F132" t="s">
        <v>27</v>
      </c>
      <c r="G132" t="s">
        <v>15</v>
      </c>
      <c r="H132" t="s">
        <v>21</v>
      </c>
      <c r="I132" t="s">
        <v>39</v>
      </c>
      <c r="J132" t="s">
        <v>26</v>
      </c>
    </row>
    <row r="133" spans="1:10" x14ac:dyDescent="0.35">
      <c r="A133" t="s">
        <v>1</v>
      </c>
      <c r="B133" t="s">
        <v>19</v>
      </c>
      <c r="C133" t="s">
        <v>5</v>
      </c>
      <c r="D133" t="s">
        <v>5</v>
      </c>
      <c r="E133">
        <v>2021</v>
      </c>
      <c r="F133" t="s">
        <v>13</v>
      </c>
      <c r="G133" t="s">
        <v>15</v>
      </c>
      <c r="H133" t="s">
        <v>21</v>
      </c>
      <c r="I133" t="s">
        <v>40</v>
      </c>
      <c r="J133" t="s">
        <v>26</v>
      </c>
    </row>
    <row r="134" spans="1:10" x14ac:dyDescent="0.35">
      <c r="A134" t="s">
        <v>1</v>
      </c>
      <c r="B134" t="s">
        <v>19</v>
      </c>
      <c r="C134" t="s">
        <v>5</v>
      </c>
      <c r="D134" t="s">
        <v>5</v>
      </c>
      <c r="E134">
        <v>2022</v>
      </c>
      <c r="F134" t="s">
        <v>27</v>
      </c>
      <c r="G134" t="s">
        <v>15</v>
      </c>
      <c r="H134" t="s">
        <v>21</v>
      </c>
      <c r="I134" t="s">
        <v>41</v>
      </c>
      <c r="J134" t="s">
        <v>26</v>
      </c>
    </row>
    <row r="135" spans="1:10" x14ac:dyDescent="0.35">
      <c r="A135" t="s">
        <v>1</v>
      </c>
      <c r="B135" t="s">
        <v>19</v>
      </c>
      <c r="C135" t="s">
        <v>5</v>
      </c>
      <c r="D135" t="s">
        <v>5</v>
      </c>
      <c r="E135">
        <v>2022</v>
      </c>
      <c r="F135" t="s">
        <v>13</v>
      </c>
      <c r="G135" t="s">
        <v>15</v>
      </c>
      <c r="H135" t="s">
        <v>21</v>
      </c>
      <c r="I135" t="s">
        <v>42</v>
      </c>
      <c r="J135" t="s">
        <v>26</v>
      </c>
    </row>
    <row r="136" spans="1:10" x14ac:dyDescent="0.35">
      <c r="A136" t="s">
        <v>1</v>
      </c>
      <c r="B136" t="s">
        <v>19</v>
      </c>
      <c r="C136" t="s">
        <v>5</v>
      </c>
      <c r="D136" t="s">
        <v>5</v>
      </c>
      <c r="E136">
        <v>2023</v>
      </c>
      <c r="F136" t="s">
        <v>27</v>
      </c>
      <c r="G136" t="s">
        <v>15</v>
      </c>
      <c r="H136" t="s">
        <v>21</v>
      </c>
      <c r="I136" t="s">
        <v>43</v>
      </c>
      <c r="J136" t="s">
        <v>26</v>
      </c>
    </row>
    <row r="137" spans="1:10" x14ac:dyDescent="0.35">
      <c r="A137" t="s">
        <v>1</v>
      </c>
      <c r="B137" t="s">
        <v>19</v>
      </c>
      <c r="C137" t="s">
        <v>5</v>
      </c>
      <c r="D137" t="s">
        <v>5</v>
      </c>
      <c r="E137">
        <v>2023</v>
      </c>
      <c r="F137" t="s">
        <v>13</v>
      </c>
      <c r="G137" t="s">
        <v>15</v>
      </c>
      <c r="H137" t="s">
        <v>21</v>
      </c>
      <c r="I137" t="s">
        <v>44</v>
      </c>
      <c r="J137" t="s">
        <v>26</v>
      </c>
    </row>
    <row r="138" spans="1:10" x14ac:dyDescent="0.35">
      <c r="A138" t="s">
        <v>1</v>
      </c>
      <c r="B138" t="s">
        <v>19</v>
      </c>
      <c r="C138" t="s">
        <v>5</v>
      </c>
      <c r="D138" t="s">
        <v>5</v>
      </c>
      <c r="E138">
        <v>2024</v>
      </c>
      <c r="F138" t="s">
        <v>27</v>
      </c>
      <c r="G138" t="s">
        <v>15</v>
      </c>
      <c r="H138" t="s">
        <v>21</v>
      </c>
      <c r="I138" t="s">
        <v>45</v>
      </c>
      <c r="J138" t="s">
        <v>26</v>
      </c>
    </row>
    <row r="139" spans="1:10" x14ac:dyDescent="0.35">
      <c r="A139" t="s">
        <v>1</v>
      </c>
      <c r="B139" t="s">
        <v>19</v>
      </c>
      <c r="C139" t="s">
        <v>5</v>
      </c>
      <c r="D139" t="s">
        <v>5</v>
      </c>
      <c r="E139">
        <v>2024</v>
      </c>
      <c r="F139" t="s">
        <v>13</v>
      </c>
      <c r="G139" t="s">
        <v>15</v>
      </c>
      <c r="H139" t="s">
        <v>21</v>
      </c>
      <c r="I139" t="s">
        <v>46</v>
      </c>
      <c r="J139" t="s">
        <v>26</v>
      </c>
    </row>
    <row r="140" spans="1:10" x14ac:dyDescent="0.35">
      <c r="A140" t="s">
        <v>1</v>
      </c>
      <c r="B140" t="s">
        <v>19</v>
      </c>
      <c r="C140" t="s">
        <v>5</v>
      </c>
      <c r="D140" t="s">
        <v>5</v>
      </c>
      <c r="E140">
        <v>2025</v>
      </c>
      <c r="F140" t="s">
        <v>27</v>
      </c>
      <c r="G140" t="s">
        <v>15</v>
      </c>
      <c r="H140" t="s">
        <v>21</v>
      </c>
      <c r="I140" t="s">
        <v>47</v>
      </c>
      <c r="J140" t="s">
        <v>26</v>
      </c>
    </row>
    <row r="141" spans="1:10" x14ac:dyDescent="0.35">
      <c r="A141" t="s">
        <v>1</v>
      </c>
      <c r="B141" t="s">
        <v>19</v>
      </c>
      <c r="C141" t="s">
        <v>5</v>
      </c>
      <c r="D141" t="s">
        <v>5</v>
      </c>
      <c r="E141">
        <v>2025</v>
      </c>
      <c r="F141" t="s">
        <v>13</v>
      </c>
      <c r="G141" t="s">
        <v>15</v>
      </c>
      <c r="H141" t="s">
        <v>21</v>
      </c>
      <c r="I141" t="s">
        <v>48</v>
      </c>
      <c r="J141" t="s">
        <v>26</v>
      </c>
    </row>
  </sheetData>
  <sortState xmlns:xlrd2="http://schemas.microsoft.com/office/spreadsheetml/2017/richdata2" ref="A2:J121">
    <sortCondition descending="1" ref="B2:B121"/>
    <sortCondition ref="E2:E121"/>
    <sortCondition ref="F2:F121"/>
    <sortCondition descending="1" ref="H2:H121"/>
    <sortCondition ref="G2:G121" customList="REG,DEP,PMSI"/>
  </sortState>
  <phoneticPr fontId="1" type="noConversion"/>
  <conditionalFormatting sqref="E2:E121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122:E14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23F6F-52B0-4098-B058-BD49758261C9}">
  <dimension ref="A1:J41"/>
  <sheetViews>
    <sheetView topLeftCell="A25" workbookViewId="0">
      <selection activeCell="J31" sqref="J31"/>
    </sheetView>
  </sheetViews>
  <sheetFormatPr baseColWidth="10" defaultRowHeight="14.5" x14ac:dyDescent="0.35"/>
  <sheetData>
    <row r="1" spans="1:10" x14ac:dyDescent="0.35">
      <c r="A1" t="s">
        <v>0</v>
      </c>
      <c r="B1" t="s">
        <v>17</v>
      </c>
      <c r="C1" t="s">
        <v>4</v>
      </c>
      <c r="D1" t="s">
        <v>2</v>
      </c>
      <c r="E1" t="s">
        <v>11</v>
      </c>
      <c r="F1" t="s">
        <v>12</v>
      </c>
      <c r="G1" t="s">
        <v>14</v>
      </c>
      <c r="H1" t="s">
        <v>25</v>
      </c>
      <c r="I1" t="s">
        <v>22</v>
      </c>
    </row>
    <row r="2" spans="1:10" x14ac:dyDescent="0.35">
      <c r="A2" t="s">
        <v>1</v>
      </c>
      <c r="B2" t="s">
        <v>18</v>
      </c>
      <c r="C2" t="s">
        <v>5</v>
      </c>
      <c r="D2" t="s">
        <v>5</v>
      </c>
      <c r="E2">
        <v>2016</v>
      </c>
      <c r="F2" t="s">
        <v>23</v>
      </c>
      <c r="G2" t="s">
        <v>15</v>
      </c>
      <c r="H2" t="s">
        <v>21</v>
      </c>
      <c r="I2" t="str">
        <f t="shared" ref="I2:I41" si="0">"mco_"&amp;B2&amp;"_"&amp;E2&amp;"_"&amp;F2&amp;"_"&amp;G2</f>
        <v>mco_MET_2016_FINESS-Geo_DEP</v>
      </c>
      <c r="J2" t="s">
        <v>26</v>
      </c>
    </row>
    <row r="3" spans="1:10" x14ac:dyDescent="0.35">
      <c r="A3" t="s">
        <v>1</v>
      </c>
      <c r="B3" t="s">
        <v>18</v>
      </c>
      <c r="C3" t="s">
        <v>5</v>
      </c>
      <c r="D3" t="s">
        <v>5</v>
      </c>
      <c r="E3">
        <v>2016</v>
      </c>
      <c r="F3" t="s">
        <v>23</v>
      </c>
      <c r="G3" t="s">
        <v>16</v>
      </c>
      <c r="H3" t="s">
        <v>21</v>
      </c>
      <c r="I3" t="str">
        <f t="shared" si="0"/>
        <v>mco_MET_2016_FINESS-Geo_PMSI</v>
      </c>
      <c r="J3" t="s">
        <v>26</v>
      </c>
    </row>
    <row r="4" spans="1:10" x14ac:dyDescent="0.35">
      <c r="A4" t="s">
        <v>1</v>
      </c>
      <c r="B4" t="s">
        <v>18</v>
      </c>
      <c r="C4" t="s">
        <v>5</v>
      </c>
      <c r="D4" t="s">
        <v>5</v>
      </c>
      <c r="E4">
        <v>2017</v>
      </c>
      <c r="F4" t="s">
        <v>23</v>
      </c>
      <c r="G4" t="s">
        <v>15</v>
      </c>
      <c r="H4" t="s">
        <v>21</v>
      </c>
      <c r="I4" t="str">
        <f t="shared" si="0"/>
        <v>mco_MET_2017_FINESS-Geo_DEP</v>
      </c>
      <c r="J4" t="s">
        <v>26</v>
      </c>
    </row>
    <row r="5" spans="1:10" x14ac:dyDescent="0.35">
      <c r="A5" t="s">
        <v>1</v>
      </c>
      <c r="B5" t="s">
        <v>18</v>
      </c>
      <c r="C5" t="s">
        <v>5</v>
      </c>
      <c r="D5" t="s">
        <v>5</v>
      </c>
      <c r="E5">
        <v>2017</v>
      </c>
      <c r="F5" t="s">
        <v>23</v>
      </c>
      <c r="G5" t="s">
        <v>16</v>
      </c>
      <c r="H5" t="s">
        <v>21</v>
      </c>
      <c r="I5" t="str">
        <f t="shared" si="0"/>
        <v>mco_MET_2017_FINESS-Geo_PMSI</v>
      </c>
      <c r="J5" t="s">
        <v>26</v>
      </c>
    </row>
    <row r="6" spans="1:10" x14ac:dyDescent="0.35">
      <c r="A6" t="s">
        <v>1</v>
      </c>
      <c r="B6" t="s">
        <v>18</v>
      </c>
      <c r="C6" t="s">
        <v>5</v>
      </c>
      <c r="D6" t="s">
        <v>5</v>
      </c>
      <c r="E6">
        <v>2018</v>
      </c>
      <c r="F6" t="s">
        <v>23</v>
      </c>
      <c r="G6" t="s">
        <v>15</v>
      </c>
      <c r="H6" t="s">
        <v>21</v>
      </c>
      <c r="I6" t="str">
        <f t="shared" si="0"/>
        <v>mco_MET_2018_FINESS-Geo_DEP</v>
      </c>
      <c r="J6" t="s">
        <v>26</v>
      </c>
    </row>
    <row r="7" spans="1:10" x14ac:dyDescent="0.35">
      <c r="A7" t="s">
        <v>1</v>
      </c>
      <c r="B7" t="s">
        <v>18</v>
      </c>
      <c r="C7" t="s">
        <v>5</v>
      </c>
      <c r="D7" t="s">
        <v>5</v>
      </c>
      <c r="E7">
        <v>2018</v>
      </c>
      <c r="F7" t="s">
        <v>23</v>
      </c>
      <c r="G7" t="s">
        <v>16</v>
      </c>
      <c r="H7" t="s">
        <v>21</v>
      </c>
      <c r="I7" t="str">
        <f t="shared" si="0"/>
        <v>mco_MET_2018_FINESS-Geo_PMSI</v>
      </c>
      <c r="J7" t="s">
        <v>26</v>
      </c>
    </row>
    <row r="8" spans="1:10" x14ac:dyDescent="0.35">
      <c r="A8" t="s">
        <v>1</v>
      </c>
      <c r="B8" t="s">
        <v>18</v>
      </c>
      <c r="C8" t="s">
        <v>5</v>
      </c>
      <c r="D8" t="s">
        <v>5</v>
      </c>
      <c r="E8">
        <v>2019</v>
      </c>
      <c r="F8" t="s">
        <v>23</v>
      </c>
      <c r="G8" t="s">
        <v>15</v>
      </c>
      <c r="H8" t="s">
        <v>21</v>
      </c>
      <c r="I8" t="str">
        <f t="shared" si="0"/>
        <v>mco_MET_2019_FINESS-Geo_DEP</v>
      </c>
      <c r="J8" t="s">
        <v>26</v>
      </c>
    </row>
    <row r="9" spans="1:10" x14ac:dyDescent="0.35">
      <c r="A9" t="s">
        <v>1</v>
      </c>
      <c r="B9" t="s">
        <v>18</v>
      </c>
      <c r="C9" t="s">
        <v>5</v>
      </c>
      <c r="D9" t="s">
        <v>5</v>
      </c>
      <c r="E9">
        <v>2019</v>
      </c>
      <c r="F9" t="s">
        <v>23</v>
      </c>
      <c r="G9" t="s">
        <v>16</v>
      </c>
      <c r="H9" t="s">
        <v>21</v>
      </c>
      <c r="I9" t="str">
        <f t="shared" si="0"/>
        <v>mco_MET_2019_FINESS-Geo_PMSI</v>
      </c>
      <c r="J9" t="s">
        <v>26</v>
      </c>
    </row>
    <row r="10" spans="1:10" x14ac:dyDescent="0.35">
      <c r="A10" t="s">
        <v>1</v>
      </c>
      <c r="B10" t="s">
        <v>18</v>
      </c>
      <c r="C10" t="s">
        <v>5</v>
      </c>
      <c r="D10" t="s">
        <v>5</v>
      </c>
      <c r="E10">
        <v>2020</v>
      </c>
      <c r="F10" t="s">
        <v>23</v>
      </c>
      <c r="G10" t="s">
        <v>15</v>
      </c>
      <c r="H10" t="s">
        <v>21</v>
      </c>
      <c r="I10" t="str">
        <f t="shared" si="0"/>
        <v>mco_MET_2020_FINESS-Geo_DEP</v>
      </c>
      <c r="J10" t="s">
        <v>26</v>
      </c>
    </row>
    <row r="11" spans="1:10" x14ac:dyDescent="0.35">
      <c r="A11" t="s">
        <v>1</v>
      </c>
      <c r="B11" t="s">
        <v>18</v>
      </c>
      <c r="C11" t="s">
        <v>5</v>
      </c>
      <c r="D11" t="s">
        <v>5</v>
      </c>
      <c r="E11">
        <v>2020</v>
      </c>
      <c r="F11" t="s">
        <v>23</v>
      </c>
      <c r="G11" t="s">
        <v>16</v>
      </c>
      <c r="H11" t="s">
        <v>21</v>
      </c>
      <c r="I11" t="str">
        <f t="shared" si="0"/>
        <v>mco_MET_2020_FINESS-Geo_PMSI</v>
      </c>
      <c r="J11" t="s">
        <v>26</v>
      </c>
    </row>
    <row r="12" spans="1:10" x14ac:dyDescent="0.35">
      <c r="A12" t="s">
        <v>1</v>
      </c>
      <c r="B12" t="s">
        <v>18</v>
      </c>
      <c r="C12" t="s">
        <v>5</v>
      </c>
      <c r="D12" t="s">
        <v>5</v>
      </c>
      <c r="E12">
        <v>2021</v>
      </c>
      <c r="F12" t="s">
        <v>23</v>
      </c>
      <c r="G12" t="s">
        <v>15</v>
      </c>
      <c r="H12" t="s">
        <v>21</v>
      </c>
      <c r="I12" t="str">
        <f t="shared" si="0"/>
        <v>mco_MET_2021_FINESS-Geo_DEP</v>
      </c>
      <c r="J12" t="s">
        <v>26</v>
      </c>
    </row>
    <row r="13" spans="1:10" x14ac:dyDescent="0.35">
      <c r="A13" t="s">
        <v>1</v>
      </c>
      <c r="B13" t="s">
        <v>18</v>
      </c>
      <c r="C13" t="s">
        <v>5</v>
      </c>
      <c r="D13" t="s">
        <v>5</v>
      </c>
      <c r="E13">
        <v>2021</v>
      </c>
      <c r="F13" t="s">
        <v>23</v>
      </c>
      <c r="G13" t="s">
        <v>16</v>
      </c>
      <c r="H13" t="s">
        <v>21</v>
      </c>
      <c r="I13" t="str">
        <f t="shared" si="0"/>
        <v>mco_MET_2021_FINESS-Geo_PMSI</v>
      </c>
      <c r="J13" t="s">
        <v>26</v>
      </c>
    </row>
    <row r="14" spans="1:10" x14ac:dyDescent="0.35">
      <c r="A14" t="s">
        <v>1</v>
      </c>
      <c r="B14" t="s">
        <v>18</v>
      </c>
      <c r="C14" t="s">
        <v>5</v>
      </c>
      <c r="D14" t="s">
        <v>5</v>
      </c>
      <c r="E14">
        <v>2022</v>
      </c>
      <c r="F14" t="s">
        <v>23</v>
      </c>
      <c r="G14" t="s">
        <v>15</v>
      </c>
      <c r="H14" t="s">
        <v>21</v>
      </c>
      <c r="I14" t="str">
        <f t="shared" si="0"/>
        <v>mco_MET_2022_FINESS-Geo_DEP</v>
      </c>
      <c r="J14" t="s">
        <v>26</v>
      </c>
    </row>
    <row r="15" spans="1:10" x14ac:dyDescent="0.35">
      <c r="A15" t="s">
        <v>1</v>
      </c>
      <c r="B15" t="s">
        <v>18</v>
      </c>
      <c r="C15" t="s">
        <v>5</v>
      </c>
      <c r="D15" t="s">
        <v>5</v>
      </c>
      <c r="E15">
        <v>2022</v>
      </c>
      <c r="F15" t="s">
        <v>23</v>
      </c>
      <c r="G15" t="s">
        <v>16</v>
      </c>
      <c r="H15" t="s">
        <v>21</v>
      </c>
      <c r="I15" t="str">
        <f t="shared" si="0"/>
        <v>mco_MET_2022_FINESS-Geo_PMSI</v>
      </c>
      <c r="J15" t="s">
        <v>26</v>
      </c>
    </row>
    <row r="16" spans="1:10" x14ac:dyDescent="0.35">
      <c r="A16" t="s">
        <v>1</v>
      </c>
      <c r="B16" t="s">
        <v>18</v>
      </c>
      <c r="C16" t="s">
        <v>5</v>
      </c>
      <c r="D16" t="s">
        <v>5</v>
      </c>
      <c r="E16">
        <v>2023</v>
      </c>
      <c r="F16" t="s">
        <v>23</v>
      </c>
      <c r="G16" t="s">
        <v>15</v>
      </c>
      <c r="H16" t="s">
        <v>21</v>
      </c>
      <c r="I16" t="str">
        <f t="shared" si="0"/>
        <v>mco_MET_2023_FINESS-Geo_DEP</v>
      </c>
      <c r="J16" t="s">
        <v>26</v>
      </c>
    </row>
    <row r="17" spans="1:10" x14ac:dyDescent="0.35">
      <c r="A17" t="s">
        <v>1</v>
      </c>
      <c r="B17" t="s">
        <v>18</v>
      </c>
      <c r="C17" t="s">
        <v>5</v>
      </c>
      <c r="D17" t="s">
        <v>5</v>
      </c>
      <c r="E17">
        <v>2023</v>
      </c>
      <c r="F17" t="s">
        <v>23</v>
      </c>
      <c r="G17" t="s">
        <v>16</v>
      </c>
      <c r="H17" t="s">
        <v>21</v>
      </c>
      <c r="I17" t="str">
        <f t="shared" si="0"/>
        <v>mco_MET_2023_FINESS-Geo_PMSI</v>
      </c>
      <c r="J17" t="s">
        <v>26</v>
      </c>
    </row>
    <row r="18" spans="1:10" x14ac:dyDescent="0.35">
      <c r="A18" t="s">
        <v>1</v>
      </c>
      <c r="B18" t="s">
        <v>18</v>
      </c>
      <c r="C18" t="s">
        <v>5</v>
      </c>
      <c r="D18" t="s">
        <v>5</v>
      </c>
      <c r="E18">
        <v>2024</v>
      </c>
      <c r="F18" t="s">
        <v>23</v>
      </c>
      <c r="G18" t="s">
        <v>15</v>
      </c>
      <c r="H18" t="s">
        <v>21</v>
      </c>
      <c r="I18" t="str">
        <f t="shared" si="0"/>
        <v>mco_MET_2024_FINESS-Geo_DEP</v>
      </c>
      <c r="J18" t="s">
        <v>26</v>
      </c>
    </row>
    <row r="19" spans="1:10" x14ac:dyDescent="0.35">
      <c r="A19" t="s">
        <v>1</v>
      </c>
      <c r="B19" t="s">
        <v>18</v>
      </c>
      <c r="C19" t="s">
        <v>5</v>
      </c>
      <c r="D19" t="s">
        <v>5</v>
      </c>
      <c r="E19">
        <v>2024</v>
      </c>
      <c r="F19" t="s">
        <v>23</v>
      </c>
      <c r="G19" t="s">
        <v>16</v>
      </c>
      <c r="H19" t="s">
        <v>21</v>
      </c>
      <c r="I19" t="str">
        <f t="shared" si="0"/>
        <v>mco_MET_2024_FINESS-Geo_PMSI</v>
      </c>
      <c r="J19" t="s">
        <v>26</v>
      </c>
    </row>
    <row r="20" spans="1:10" x14ac:dyDescent="0.35">
      <c r="A20" t="s">
        <v>1</v>
      </c>
      <c r="B20" t="s">
        <v>18</v>
      </c>
      <c r="C20" t="s">
        <v>5</v>
      </c>
      <c r="D20" t="s">
        <v>5</v>
      </c>
      <c r="E20">
        <v>2025</v>
      </c>
      <c r="F20" t="s">
        <v>23</v>
      </c>
      <c r="G20" t="s">
        <v>15</v>
      </c>
      <c r="H20" t="s">
        <v>21</v>
      </c>
      <c r="I20" t="str">
        <f t="shared" si="0"/>
        <v>mco_MET_2025_FINESS-Geo_DEP</v>
      </c>
      <c r="J20" t="s">
        <v>26</v>
      </c>
    </row>
    <row r="21" spans="1:10" x14ac:dyDescent="0.35">
      <c r="A21" t="s">
        <v>1</v>
      </c>
      <c r="B21" t="s">
        <v>18</v>
      </c>
      <c r="C21" t="s">
        <v>5</v>
      </c>
      <c r="D21" t="s">
        <v>5</v>
      </c>
      <c r="E21">
        <v>2025</v>
      </c>
      <c r="F21" t="s">
        <v>23</v>
      </c>
      <c r="G21" t="s">
        <v>16</v>
      </c>
      <c r="H21" t="s">
        <v>21</v>
      </c>
      <c r="I21" t="str">
        <f t="shared" si="0"/>
        <v>mco_MET_2025_FINESS-Geo_PMSI</v>
      </c>
      <c r="J21" t="s">
        <v>26</v>
      </c>
    </row>
    <row r="22" spans="1:10" x14ac:dyDescent="0.35">
      <c r="A22" t="s">
        <v>1</v>
      </c>
      <c r="B22" t="s">
        <v>51</v>
      </c>
      <c r="C22" t="s">
        <v>5</v>
      </c>
      <c r="D22" t="s">
        <v>5</v>
      </c>
      <c r="E22">
        <v>2016</v>
      </c>
      <c r="F22" t="s">
        <v>23</v>
      </c>
      <c r="G22" t="s">
        <v>15</v>
      </c>
      <c r="H22" t="s">
        <v>21</v>
      </c>
      <c r="I22" t="str">
        <f t="shared" si="0"/>
        <v>mco_DOM_2016_FINESS-Geo_DEP</v>
      </c>
      <c r="J22" t="s">
        <v>26</v>
      </c>
    </row>
    <row r="23" spans="1:10" x14ac:dyDescent="0.35">
      <c r="A23" t="s">
        <v>1</v>
      </c>
      <c r="B23" t="s">
        <v>51</v>
      </c>
      <c r="C23" t="s">
        <v>5</v>
      </c>
      <c r="D23" t="s">
        <v>5</v>
      </c>
      <c r="E23">
        <v>2016</v>
      </c>
      <c r="F23" t="s">
        <v>23</v>
      </c>
      <c r="G23" t="s">
        <v>16</v>
      </c>
      <c r="H23" t="s">
        <v>21</v>
      </c>
      <c r="I23" t="str">
        <f t="shared" si="0"/>
        <v>mco_DOM_2016_FINESS-Geo_PMSI</v>
      </c>
      <c r="J23" t="s">
        <v>26</v>
      </c>
    </row>
    <row r="24" spans="1:10" x14ac:dyDescent="0.35">
      <c r="A24" t="s">
        <v>1</v>
      </c>
      <c r="B24" t="s">
        <v>51</v>
      </c>
      <c r="C24" t="s">
        <v>5</v>
      </c>
      <c r="D24" t="s">
        <v>5</v>
      </c>
      <c r="E24">
        <v>2017</v>
      </c>
      <c r="F24" t="s">
        <v>23</v>
      </c>
      <c r="G24" t="s">
        <v>15</v>
      </c>
      <c r="H24" t="s">
        <v>21</v>
      </c>
      <c r="I24" t="str">
        <f t="shared" si="0"/>
        <v>mco_DOM_2017_FINESS-Geo_DEP</v>
      </c>
      <c r="J24" t="s">
        <v>26</v>
      </c>
    </row>
    <row r="25" spans="1:10" x14ac:dyDescent="0.35">
      <c r="A25" t="s">
        <v>1</v>
      </c>
      <c r="B25" t="s">
        <v>51</v>
      </c>
      <c r="C25" t="s">
        <v>5</v>
      </c>
      <c r="D25" t="s">
        <v>5</v>
      </c>
      <c r="E25">
        <v>2017</v>
      </c>
      <c r="F25" t="s">
        <v>23</v>
      </c>
      <c r="G25" t="s">
        <v>16</v>
      </c>
      <c r="H25" t="s">
        <v>21</v>
      </c>
      <c r="I25" t="str">
        <f t="shared" si="0"/>
        <v>mco_DOM_2017_FINESS-Geo_PMSI</v>
      </c>
      <c r="J25" t="s">
        <v>26</v>
      </c>
    </row>
    <row r="26" spans="1:10" x14ac:dyDescent="0.35">
      <c r="A26" t="s">
        <v>1</v>
      </c>
      <c r="B26" t="s">
        <v>51</v>
      </c>
      <c r="C26" t="s">
        <v>5</v>
      </c>
      <c r="D26" t="s">
        <v>5</v>
      </c>
      <c r="E26">
        <v>2018</v>
      </c>
      <c r="F26" t="s">
        <v>23</v>
      </c>
      <c r="G26" t="s">
        <v>15</v>
      </c>
      <c r="H26" t="s">
        <v>21</v>
      </c>
      <c r="I26" t="str">
        <f t="shared" si="0"/>
        <v>mco_DOM_2018_FINESS-Geo_DEP</v>
      </c>
      <c r="J26" t="s">
        <v>26</v>
      </c>
    </row>
    <row r="27" spans="1:10" x14ac:dyDescent="0.35">
      <c r="A27" t="s">
        <v>1</v>
      </c>
      <c r="B27" t="s">
        <v>51</v>
      </c>
      <c r="C27" t="s">
        <v>5</v>
      </c>
      <c r="D27" t="s">
        <v>5</v>
      </c>
      <c r="E27">
        <v>2018</v>
      </c>
      <c r="F27" t="s">
        <v>23</v>
      </c>
      <c r="G27" t="s">
        <v>16</v>
      </c>
      <c r="H27" t="s">
        <v>21</v>
      </c>
      <c r="I27" t="str">
        <f t="shared" si="0"/>
        <v>mco_DOM_2018_FINESS-Geo_PMSI</v>
      </c>
      <c r="J27" t="s">
        <v>26</v>
      </c>
    </row>
    <row r="28" spans="1:10" x14ac:dyDescent="0.35">
      <c r="A28" t="s">
        <v>1</v>
      </c>
      <c r="B28" t="s">
        <v>51</v>
      </c>
      <c r="C28" t="s">
        <v>5</v>
      </c>
      <c r="D28" t="s">
        <v>5</v>
      </c>
      <c r="E28">
        <v>2019</v>
      </c>
      <c r="F28" t="s">
        <v>23</v>
      </c>
      <c r="G28" t="s">
        <v>15</v>
      </c>
      <c r="H28" t="s">
        <v>21</v>
      </c>
      <c r="I28" t="str">
        <f t="shared" si="0"/>
        <v>mco_DOM_2019_FINESS-Geo_DEP</v>
      </c>
      <c r="J28" t="s">
        <v>26</v>
      </c>
    </row>
    <row r="29" spans="1:10" x14ac:dyDescent="0.35">
      <c r="A29" t="s">
        <v>1</v>
      </c>
      <c r="B29" t="s">
        <v>51</v>
      </c>
      <c r="C29" t="s">
        <v>5</v>
      </c>
      <c r="D29" t="s">
        <v>5</v>
      </c>
      <c r="E29">
        <v>2019</v>
      </c>
      <c r="F29" t="s">
        <v>23</v>
      </c>
      <c r="G29" t="s">
        <v>16</v>
      </c>
      <c r="H29" t="s">
        <v>21</v>
      </c>
      <c r="I29" t="str">
        <f t="shared" si="0"/>
        <v>mco_DOM_2019_FINESS-Geo_PMSI</v>
      </c>
      <c r="J29" t="s">
        <v>26</v>
      </c>
    </row>
    <row r="30" spans="1:10" x14ac:dyDescent="0.35">
      <c r="A30" t="s">
        <v>1</v>
      </c>
      <c r="B30" t="s">
        <v>51</v>
      </c>
      <c r="C30" t="s">
        <v>5</v>
      </c>
      <c r="D30" t="s">
        <v>5</v>
      </c>
      <c r="E30">
        <v>2020</v>
      </c>
      <c r="F30" t="s">
        <v>23</v>
      </c>
      <c r="G30" t="s">
        <v>15</v>
      </c>
      <c r="H30" t="s">
        <v>21</v>
      </c>
      <c r="I30" t="str">
        <f t="shared" si="0"/>
        <v>mco_DOM_2020_FINESS-Geo_DEP</v>
      </c>
      <c r="J30" t="s">
        <v>26</v>
      </c>
    </row>
    <row r="31" spans="1:10" x14ac:dyDescent="0.35">
      <c r="A31" t="s">
        <v>1</v>
      </c>
      <c r="B31" t="s">
        <v>51</v>
      </c>
      <c r="C31" t="s">
        <v>5</v>
      </c>
      <c r="D31" t="s">
        <v>5</v>
      </c>
      <c r="E31">
        <v>2020</v>
      </c>
      <c r="F31" t="s">
        <v>23</v>
      </c>
      <c r="G31" t="s">
        <v>16</v>
      </c>
      <c r="H31" t="s">
        <v>21</v>
      </c>
      <c r="I31" t="str">
        <f t="shared" si="0"/>
        <v>mco_DOM_2020_FINESS-Geo_PMSI</v>
      </c>
      <c r="J31" t="s">
        <v>26</v>
      </c>
    </row>
    <row r="32" spans="1:10" x14ac:dyDescent="0.35">
      <c r="A32" t="s">
        <v>1</v>
      </c>
      <c r="B32" t="s">
        <v>51</v>
      </c>
      <c r="C32" t="s">
        <v>5</v>
      </c>
      <c r="D32" t="s">
        <v>5</v>
      </c>
      <c r="E32">
        <v>2021</v>
      </c>
      <c r="F32" t="s">
        <v>23</v>
      </c>
      <c r="G32" t="s">
        <v>15</v>
      </c>
      <c r="H32" t="s">
        <v>21</v>
      </c>
      <c r="I32" t="str">
        <f t="shared" si="0"/>
        <v>mco_DOM_2021_FINESS-Geo_DEP</v>
      </c>
      <c r="J32" t="s">
        <v>26</v>
      </c>
    </row>
    <row r="33" spans="1:10" x14ac:dyDescent="0.35">
      <c r="A33" t="s">
        <v>1</v>
      </c>
      <c r="B33" t="s">
        <v>51</v>
      </c>
      <c r="C33" t="s">
        <v>5</v>
      </c>
      <c r="D33" t="s">
        <v>5</v>
      </c>
      <c r="E33">
        <v>2021</v>
      </c>
      <c r="F33" t="s">
        <v>23</v>
      </c>
      <c r="G33" t="s">
        <v>16</v>
      </c>
      <c r="H33" t="s">
        <v>21</v>
      </c>
      <c r="I33" t="str">
        <f t="shared" si="0"/>
        <v>mco_DOM_2021_FINESS-Geo_PMSI</v>
      </c>
      <c r="J33" t="s">
        <v>26</v>
      </c>
    </row>
    <row r="34" spans="1:10" x14ac:dyDescent="0.35">
      <c r="A34" t="s">
        <v>1</v>
      </c>
      <c r="B34" t="s">
        <v>51</v>
      </c>
      <c r="C34" t="s">
        <v>5</v>
      </c>
      <c r="D34" t="s">
        <v>5</v>
      </c>
      <c r="E34">
        <v>2022</v>
      </c>
      <c r="F34" t="s">
        <v>23</v>
      </c>
      <c r="G34" t="s">
        <v>15</v>
      </c>
      <c r="H34" t="s">
        <v>21</v>
      </c>
      <c r="I34" t="str">
        <f t="shared" si="0"/>
        <v>mco_DOM_2022_FINESS-Geo_DEP</v>
      </c>
      <c r="J34" t="s">
        <v>26</v>
      </c>
    </row>
    <row r="35" spans="1:10" x14ac:dyDescent="0.35">
      <c r="A35" t="s">
        <v>1</v>
      </c>
      <c r="B35" t="s">
        <v>51</v>
      </c>
      <c r="C35" t="s">
        <v>5</v>
      </c>
      <c r="D35" t="s">
        <v>5</v>
      </c>
      <c r="E35">
        <v>2022</v>
      </c>
      <c r="F35" t="s">
        <v>23</v>
      </c>
      <c r="G35" t="s">
        <v>16</v>
      </c>
      <c r="H35" t="s">
        <v>21</v>
      </c>
      <c r="I35" t="str">
        <f t="shared" si="0"/>
        <v>mco_DOM_2022_FINESS-Geo_PMSI</v>
      </c>
      <c r="J35" t="s">
        <v>26</v>
      </c>
    </row>
    <row r="36" spans="1:10" x14ac:dyDescent="0.35">
      <c r="A36" t="s">
        <v>1</v>
      </c>
      <c r="B36" t="s">
        <v>51</v>
      </c>
      <c r="C36" t="s">
        <v>5</v>
      </c>
      <c r="D36" t="s">
        <v>5</v>
      </c>
      <c r="E36">
        <v>2023</v>
      </c>
      <c r="F36" t="s">
        <v>23</v>
      </c>
      <c r="G36" t="s">
        <v>15</v>
      </c>
      <c r="H36" t="s">
        <v>21</v>
      </c>
      <c r="I36" t="str">
        <f t="shared" si="0"/>
        <v>mco_DOM_2023_FINESS-Geo_DEP</v>
      </c>
      <c r="J36" t="s">
        <v>26</v>
      </c>
    </row>
    <row r="37" spans="1:10" x14ac:dyDescent="0.35">
      <c r="A37" t="s">
        <v>1</v>
      </c>
      <c r="B37" t="s">
        <v>51</v>
      </c>
      <c r="C37" t="s">
        <v>5</v>
      </c>
      <c r="D37" t="s">
        <v>5</v>
      </c>
      <c r="E37">
        <v>2023</v>
      </c>
      <c r="F37" t="s">
        <v>23</v>
      </c>
      <c r="G37" t="s">
        <v>16</v>
      </c>
      <c r="H37" t="s">
        <v>21</v>
      </c>
      <c r="I37" t="str">
        <f t="shared" si="0"/>
        <v>mco_DOM_2023_FINESS-Geo_PMSI</v>
      </c>
      <c r="J37" t="s">
        <v>26</v>
      </c>
    </row>
    <row r="38" spans="1:10" x14ac:dyDescent="0.35">
      <c r="A38" t="s">
        <v>1</v>
      </c>
      <c r="B38" t="s">
        <v>51</v>
      </c>
      <c r="C38" t="s">
        <v>5</v>
      </c>
      <c r="D38" t="s">
        <v>5</v>
      </c>
      <c r="E38">
        <v>2024</v>
      </c>
      <c r="F38" t="s">
        <v>23</v>
      </c>
      <c r="G38" t="s">
        <v>15</v>
      </c>
      <c r="H38" t="s">
        <v>21</v>
      </c>
      <c r="I38" t="str">
        <f t="shared" si="0"/>
        <v>mco_DOM_2024_FINESS-Geo_DEP</v>
      </c>
      <c r="J38" t="s">
        <v>26</v>
      </c>
    </row>
    <row r="39" spans="1:10" x14ac:dyDescent="0.35">
      <c r="A39" t="s">
        <v>1</v>
      </c>
      <c r="B39" t="s">
        <v>51</v>
      </c>
      <c r="C39" t="s">
        <v>5</v>
      </c>
      <c r="D39" t="s">
        <v>5</v>
      </c>
      <c r="E39">
        <v>2024</v>
      </c>
      <c r="F39" t="s">
        <v>23</v>
      </c>
      <c r="G39" t="s">
        <v>16</v>
      </c>
      <c r="H39" t="s">
        <v>21</v>
      </c>
      <c r="I39" t="str">
        <f t="shared" si="0"/>
        <v>mco_DOM_2024_FINESS-Geo_PMSI</v>
      </c>
      <c r="J39" t="s">
        <v>26</v>
      </c>
    </row>
    <row r="40" spans="1:10" x14ac:dyDescent="0.35">
      <c r="A40" t="s">
        <v>1</v>
      </c>
      <c r="B40" t="s">
        <v>51</v>
      </c>
      <c r="C40" t="s">
        <v>5</v>
      </c>
      <c r="D40" t="s">
        <v>5</v>
      </c>
      <c r="E40">
        <v>2025</v>
      </c>
      <c r="F40" t="s">
        <v>23</v>
      </c>
      <c r="G40" t="s">
        <v>15</v>
      </c>
      <c r="H40" t="s">
        <v>21</v>
      </c>
      <c r="I40" t="str">
        <f t="shared" si="0"/>
        <v>mco_DOM_2025_FINESS-Geo_DEP</v>
      </c>
      <c r="J40" t="s">
        <v>26</v>
      </c>
    </row>
    <row r="41" spans="1:10" x14ac:dyDescent="0.35">
      <c r="A41" t="s">
        <v>1</v>
      </c>
      <c r="B41" t="s">
        <v>51</v>
      </c>
      <c r="C41" t="s">
        <v>5</v>
      </c>
      <c r="D41" t="s">
        <v>5</v>
      </c>
      <c r="E41">
        <v>2025</v>
      </c>
      <c r="F41" t="s">
        <v>23</v>
      </c>
      <c r="G41" t="s">
        <v>16</v>
      </c>
      <c r="H41" t="s">
        <v>21</v>
      </c>
      <c r="I41" t="str">
        <f t="shared" si="0"/>
        <v>mco_DOM_2025_FINESS-Geo_PMSI</v>
      </c>
      <c r="J41" t="s">
        <v>26</v>
      </c>
    </row>
  </sheetData>
  <sortState xmlns:xlrd2="http://schemas.microsoft.com/office/spreadsheetml/2017/richdata2" ref="A2:J41">
    <sortCondition descending="1" ref="B2:B41"/>
    <sortCondition ref="E2:E41"/>
    <sortCondition ref="G2:G41"/>
  </sortState>
  <phoneticPr fontId="1" type="noConversion"/>
  <conditionalFormatting sqref="E2:E41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424E5-4DD0-4483-B829-4E401C69C991}">
  <dimension ref="A1:J21"/>
  <sheetViews>
    <sheetView workbookViewId="0">
      <selection activeCell="H23" sqref="H23"/>
    </sheetView>
  </sheetViews>
  <sheetFormatPr baseColWidth="10" defaultRowHeight="14.5" x14ac:dyDescent="0.35"/>
  <sheetData>
    <row r="1" spans="1:10" x14ac:dyDescent="0.35">
      <c r="A1" t="s">
        <v>0</v>
      </c>
      <c r="B1" t="s">
        <v>17</v>
      </c>
      <c r="C1" t="s">
        <v>4</v>
      </c>
      <c r="D1" t="s">
        <v>2</v>
      </c>
      <c r="E1" t="s">
        <v>11</v>
      </c>
      <c r="F1" t="s">
        <v>12</v>
      </c>
      <c r="G1" t="s">
        <v>14</v>
      </c>
      <c r="H1" t="s">
        <v>25</v>
      </c>
      <c r="I1" t="s">
        <v>22</v>
      </c>
    </row>
    <row r="2" spans="1:10" x14ac:dyDescent="0.35">
      <c r="A2" t="s">
        <v>1</v>
      </c>
      <c r="B2" t="s">
        <v>18</v>
      </c>
      <c r="C2" t="s">
        <v>5</v>
      </c>
      <c r="D2" t="s">
        <v>5</v>
      </c>
      <c r="E2">
        <v>2016</v>
      </c>
      <c r="F2" t="s">
        <v>28</v>
      </c>
      <c r="G2" t="s">
        <v>15</v>
      </c>
      <c r="H2" t="s">
        <v>21</v>
      </c>
      <c r="I2" t="str">
        <f t="shared" ref="I2:I21" si="0">"mco_"&amp;B2&amp;"_"&amp;E2&amp;"_"&amp;F2&amp;"_"&amp;G2</f>
        <v>mco_MET_2016_DiagCat_DEP</v>
      </c>
      <c r="J2" t="s">
        <v>26</v>
      </c>
    </row>
    <row r="3" spans="1:10" x14ac:dyDescent="0.35">
      <c r="A3" t="s">
        <v>1</v>
      </c>
      <c r="B3" t="s">
        <v>18</v>
      </c>
      <c r="C3" t="s">
        <v>5</v>
      </c>
      <c r="D3" t="s">
        <v>5</v>
      </c>
      <c r="E3">
        <v>2016</v>
      </c>
      <c r="F3" t="s">
        <v>24</v>
      </c>
      <c r="G3" t="s">
        <v>15</v>
      </c>
      <c r="H3" t="s">
        <v>21</v>
      </c>
      <c r="I3" t="str">
        <f t="shared" si="0"/>
        <v>mco_MET_2016_FINESS-DiagCat_DEP</v>
      </c>
      <c r="J3" t="s">
        <v>26</v>
      </c>
    </row>
    <row r="4" spans="1:10" x14ac:dyDescent="0.35">
      <c r="A4" t="s">
        <v>1</v>
      </c>
      <c r="B4" t="s">
        <v>18</v>
      </c>
      <c r="C4" t="s">
        <v>5</v>
      </c>
      <c r="D4" t="s">
        <v>5</v>
      </c>
      <c r="E4">
        <v>2017</v>
      </c>
      <c r="F4" t="s">
        <v>28</v>
      </c>
      <c r="G4" t="s">
        <v>15</v>
      </c>
      <c r="H4" t="s">
        <v>21</v>
      </c>
      <c r="I4" t="str">
        <f t="shared" si="0"/>
        <v>mco_MET_2017_DiagCat_DEP</v>
      </c>
      <c r="J4" t="s">
        <v>26</v>
      </c>
    </row>
    <row r="5" spans="1:10" x14ac:dyDescent="0.35">
      <c r="A5" t="s">
        <v>1</v>
      </c>
      <c r="B5" t="s">
        <v>18</v>
      </c>
      <c r="C5" t="s">
        <v>5</v>
      </c>
      <c r="D5" t="s">
        <v>5</v>
      </c>
      <c r="E5">
        <v>2017</v>
      </c>
      <c r="F5" t="s">
        <v>24</v>
      </c>
      <c r="G5" t="s">
        <v>15</v>
      </c>
      <c r="H5" t="s">
        <v>21</v>
      </c>
      <c r="I5" t="str">
        <f t="shared" si="0"/>
        <v>mco_MET_2017_FINESS-DiagCat_DEP</v>
      </c>
      <c r="J5" t="s">
        <v>26</v>
      </c>
    </row>
    <row r="6" spans="1:10" x14ac:dyDescent="0.35">
      <c r="A6" t="s">
        <v>1</v>
      </c>
      <c r="B6" t="s">
        <v>18</v>
      </c>
      <c r="C6" t="s">
        <v>5</v>
      </c>
      <c r="D6" t="s">
        <v>5</v>
      </c>
      <c r="E6">
        <v>2018</v>
      </c>
      <c r="F6" t="s">
        <v>28</v>
      </c>
      <c r="G6" t="s">
        <v>15</v>
      </c>
      <c r="H6" t="s">
        <v>21</v>
      </c>
      <c r="I6" t="str">
        <f t="shared" si="0"/>
        <v>mco_MET_2018_DiagCat_DEP</v>
      </c>
      <c r="J6" t="s">
        <v>26</v>
      </c>
    </row>
    <row r="7" spans="1:10" x14ac:dyDescent="0.35">
      <c r="A7" t="s">
        <v>1</v>
      </c>
      <c r="B7" t="s">
        <v>18</v>
      </c>
      <c r="C7" t="s">
        <v>5</v>
      </c>
      <c r="D7" t="s">
        <v>5</v>
      </c>
      <c r="E7">
        <v>2018</v>
      </c>
      <c r="F7" t="s">
        <v>24</v>
      </c>
      <c r="G7" t="s">
        <v>15</v>
      </c>
      <c r="H7" t="s">
        <v>21</v>
      </c>
      <c r="I7" t="str">
        <f t="shared" si="0"/>
        <v>mco_MET_2018_FINESS-DiagCat_DEP</v>
      </c>
      <c r="J7" t="s">
        <v>26</v>
      </c>
    </row>
    <row r="8" spans="1:10" x14ac:dyDescent="0.35">
      <c r="A8" t="s">
        <v>1</v>
      </c>
      <c r="B8" t="s">
        <v>18</v>
      </c>
      <c r="C8" t="s">
        <v>5</v>
      </c>
      <c r="D8" t="s">
        <v>5</v>
      </c>
      <c r="E8">
        <v>2019</v>
      </c>
      <c r="F8" t="s">
        <v>28</v>
      </c>
      <c r="G8" t="s">
        <v>15</v>
      </c>
      <c r="H8" t="s">
        <v>21</v>
      </c>
      <c r="I8" t="str">
        <f t="shared" si="0"/>
        <v>mco_MET_2019_DiagCat_DEP</v>
      </c>
      <c r="J8" t="s">
        <v>26</v>
      </c>
    </row>
    <row r="9" spans="1:10" x14ac:dyDescent="0.35">
      <c r="A9" t="s">
        <v>1</v>
      </c>
      <c r="B9" t="s">
        <v>18</v>
      </c>
      <c r="C9" t="s">
        <v>5</v>
      </c>
      <c r="D9" t="s">
        <v>5</v>
      </c>
      <c r="E9">
        <v>2019</v>
      </c>
      <c r="F9" t="s">
        <v>24</v>
      </c>
      <c r="G9" t="s">
        <v>15</v>
      </c>
      <c r="H9" t="s">
        <v>21</v>
      </c>
      <c r="I9" t="str">
        <f t="shared" si="0"/>
        <v>mco_MET_2019_FINESS-DiagCat_DEP</v>
      </c>
      <c r="J9" t="s">
        <v>26</v>
      </c>
    </row>
    <row r="10" spans="1:10" x14ac:dyDescent="0.35">
      <c r="A10" t="s">
        <v>1</v>
      </c>
      <c r="B10" t="s">
        <v>18</v>
      </c>
      <c r="C10" t="s">
        <v>5</v>
      </c>
      <c r="D10" t="s">
        <v>5</v>
      </c>
      <c r="E10">
        <v>2020</v>
      </c>
      <c r="F10" t="s">
        <v>28</v>
      </c>
      <c r="G10" t="s">
        <v>15</v>
      </c>
      <c r="H10" t="s">
        <v>21</v>
      </c>
      <c r="I10" t="str">
        <f t="shared" si="0"/>
        <v>mco_MET_2020_DiagCat_DEP</v>
      </c>
      <c r="J10" t="s">
        <v>26</v>
      </c>
    </row>
    <row r="11" spans="1:10" x14ac:dyDescent="0.35">
      <c r="A11" t="s">
        <v>1</v>
      </c>
      <c r="B11" t="s">
        <v>18</v>
      </c>
      <c r="C11" t="s">
        <v>5</v>
      </c>
      <c r="D11" t="s">
        <v>5</v>
      </c>
      <c r="E11">
        <v>2020</v>
      </c>
      <c r="F11" t="s">
        <v>24</v>
      </c>
      <c r="G11" t="s">
        <v>15</v>
      </c>
      <c r="H11" t="s">
        <v>21</v>
      </c>
      <c r="I11" t="str">
        <f t="shared" si="0"/>
        <v>mco_MET_2020_FINESS-DiagCat_DEP</v>
      </c>
      <c r="J11" t="s">
        <v>26</v>
      </c>
    </row>
    <row r="12" spans="1:10" x14ac:dyDescent="0.35">
      <c r="A12" t="s">
        <v>1</v>
      </c>
      <c r="B12" t="s">
        <v>18</v>
      </c>
      <c r="C12" t="s">
        <v>5</v>
      </c>
      <c r="D12" t="s">
        <v>5</v>
      </c>
      <c r="E12">
        <v>2021</v>
      </c>
      <c r="F12" t="s">
        <v>28</v>
      </c>
      <c r="G12" t="s">
        <v>15</v>
      </c>
      <c r="H12" t="s">
        <v>21</v>
      </c>
      <c r="I12" t="str">
        <f t="shared" si="0"/>
        <v>mco_MET_2021_DiagCat_DEP</v>
      </c>
      <c r="J12" t="s">
        <v>26</v>
      </c>
    </row>
    <row r="13" spans="1:10" x14ac:dyDescent="0.35">
      <c r="A13" t="s">
        <v>1</v>
      </c>
      <c r="B13" t="s">
        <v>18</v>
      </c>
      <c r="C13" t="s">
        <v>5</v>
      </c>
      <c r="D13" t="s">
        <v>5</v>
      </c>
      <c r="E13">
        <v>2021</v>
      </c>
      <c r="F13" t="s">
        <v>24</v>
      </c>
      <c r="G13" t="s">
        <v>15</v>
      </c>
      <c r="H13" t="s">
        <v>21</v>
      </c>
      <c r="I13" t="str">
        <f t="shared" si="0"/>
        <v>mco_MET_2021_FINESS-DiagCat_DEP</v>
      </c>
      <c r="J13" t="s">
        <v>26</v>
      </c>
    </row>
    <row r="14" spans="1:10" x14ac:dyDescent="0.35">
      <c r="A14" t="s">
        <v>1</v>
      </c>
      <c r="B14" t="s">
        <v>18</v>
      </c>
      <c r="C14" t="s">
        <v>5</v>
      </c>
      <c r="D14" t="s">
        <v>5</v>
      </c>
      <c r="E14">
        <v>2022</v>
      </c>
      <c r="F14" t="s">
        <v>28</v>
      </c>
      <c r="G14" t="s">
        <v>15</v>
      </c>
      <c r="H14" t="s">
        <v>21</v>
      </c>
      <c r="I14" t="str">
        <f t="shared" si="0"/>
        <v>mco_MET_2022_DiagCat_DEP</v>
      </c>
      <c r="J14" t="s">
        <v>26</v>
      </c>
    </row>
    <row r="15" spans="1:10" x14ac:dyDescent="0.35">
      <c r="A15" t="s">
        <v>1</v>
      </c>
      <c r="B15" t="s">
        <v>18</v>
      </c>
      <c r="C15" t="s">
        <v>5</v>
      </c>
      <c r="D15" t="s">
        <v>5</v>
      </c>
      <c r="E15">
        <v>2022</v>
      </c>
      <c r="F15" t="s">
        <v>24</v>
      </c>
      <c r="G15" t="s">
        <v>15</v>
      </c>
      <c r="H15" t="s">
        <v>21</v>
      </c>
      <c r="I15" t="str">
        <f t="shared" si="0"/>
        <v>mco_MET_2022_FINESS-DiagCat_DEP</v>
      </c>
      <c r="J15" t="s">
        <v>26</v>
      </c>
    </row>
    <row r="16" spans="1:10" x14ac:dyDescent="0.35">
      <c r="A16" t="s">
        <v>1</v>
      </c>
      <c r="B16" t="s">
        <v>18</v>
      </c>
      <c r="C16" t="s">
        <v>5</v>
      </c>
      <c r="D16" t="s">
        <v>5</v>
      </c>
      <c r="E16">
        <v>2023</v>
      </c>
      <c r="F16" t="s">
        <v>28</v>
      </c>
      <c r="G16" t="s">
        <v>15</v>
      </c>
      <c r="H16" t="s">
        <v>21</v>
      </c>
      <c r="I16" t="str">
        <f t="shared" si="0"/>
        <v>mco_MET_2023_DiagCat_DEP</v>
      </c>
      <c r="J16" t="s">
        <v>26</v>
      </c>
    </row>
    <row r="17" spans="1:10" x14ac:dyDescent="0.35">
      <c r="A17" t="s">
        <v>1</v>
      </c>
      <c r="B17" t="s">
        <v>18</v>
      </c>
      <c r="C17" t="s">
        <v>5</v>
      </c>
      <c r="D17" t="s">
        <v>5</v>
      </c>
      <c r="E17">
        <v>2023</v>
      </c>
      <c r="F17" t="s">
        <v>24</v>
      </c>
      <c r="G17" t="s">
        <v>15</v>
      </c>
      <c r="H17" t="s">
        <v>21</v>
      </c>
      <c r="I17" t="str">
        <f t="shared" si="0"/>
        <v>mco_MET_2023_FINESS-DiagCat_DEP</v>
      </c>
      <c r="J17" t="s">
        <v>26</v>
      </c>
    </row>
    <row r="18" spans="1:10" x14ac:dyDescent="0.35">
      <c r="A18" t="s">
        <v>1</v>
      </c>
      <c r="B18" t="s">
        <v>18</v>
      </c>
      <c r="C18" t="s">
        <v>5</v>
      </c>
      <c r="D18" t="s">
        <v>5</v>
      </c>
      <c r="E18">
        <v>2024</v>
      </c>
      <c r="F18" t="s">
        <v>28</v>
      </c>
      <c r="G18" t="s">
        <v>15</v>
      </c>
      <c r="H18" t="s">
        <v>21</v>
      </c>
      <c r="I18" t="str">
        <f t="shared" si="0"/>
        <v>mco_MET_2024_DiagCat_DEP</v>
      </c>
      <c r="J18" t="s">
        <v>26</v>
      </c>
    </row>
    <row r="19" spans="1:10" x14ac:dyDescent="0.35">
      <c r="A19" t="s">
        <v>1</v>
      </c>
      <c r="B19" t="s">
        <v>18</v>
      </c>
      <c r="C19" t="s">
        <v>5</v>
      </c>
      <c r="D19" t="s">
        <v>5</v>
      </c>
      <c r="E19">
        <v>2024</v>
      </c>
      <c r="F19" t="s">
        <v>24</v>
      </c>
      <c r="G19" t="s">
        <v>15</v>
      </c>
      <c r="H19" t="s">
        <v>21</v>
      </c>
      <c r="I19" t="str">
        <f t="shared" si="0"/>
        <v>mco_MET_2024_FINESS-DiagCat_DEP</v>
      </c>
      <c r="J19" t="s">
        <v>26</v>
      </c>
    </row>
    <row r="20" spans="1:10" x14ac:dyDescent="0.35">
      <c r="A20" t="s">
        <v>1</v>
      </c>
      <c r="B20" t="s">
        <v>18</v>
      </c>
      <c r="C20" t="s">
        <v>5</v>
      </c>
      <c r="D20" t="s">
        <v>5</v>
      </c>
      <c r="E20">
        <v>2025</v>
      </c>
      <c r="F20" t="s">
        <v>28</v>
      </c>
      <c r="G20" t="s">
        <v>15</v>
      </c>
      <c r="H20" t="s">
        <v>21</v>
      </c>
      <c r="I20" t="str">
        <f t="shared" si="0"/>
        <v>mco_MET_2025_DiagCat_DEP</v>
      </c>
      <c r="J20" t="s">
        <v>26</v>
      </c>
    </row>
    <row r="21" spans="1:10" x14ac:dyDescent="0.35">
      <c r="A21" t="s">
        <v>1</v>
      </c>
      <c r="B21" t="s">
        <v>18</v>
      </c>
      <c r="C21" t="s">
        <v>5</v>
      </c>
      <c r="D21" t="s">
        <v>5</v>
      </c>
      <c r="E21">
        <v>2025</v>
      </c>
      <c r="F21" t="s">
        <v>24</v>
      </c>
      <c r="G21" t="s">
        <v>15</v>
      </c>
      <c r="H21" t="s">
        <v>21</v>
      </c>
      <c r="I21" t="str">
        <f t="shared" si="0"/>
        <v>mco_MET_2025_FINESS-DiagCat_DEP</v>
      </c>
      <c r="J21" t="s">
        <v>26</v>
      </c>
    </row>
  </sheetData>
  <sortState xmlns:xlrd2="http://schemas.microsoft.com/office/spreadsheetml/2017/richdata2" ref="A2:I21">
    <sortCondition ref="B2:B21"/>
    <sortCondition ref="E2:E21"/>
    <sortCondition ref="F2:F21"/>
    <sortCondition ref="G2:G21"/>
  </sortState>
  <conditionalFormatting sqref="E2:E21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53CAA-B92C-4FC2-AA97-58F48081413F}">
  <dimension ref="A1:J205"/>
  <sheetViews>
    <sheetView workbookViewId="0">
      <selection sqref="A1:J120"/>
    </sheetView>
  </sheetViews>
  <sheetFormatPr baseColWidth="10" defaultRowHeight="14.5" x14ac:dyDescent="0.35"/>
  <sheetData>
    <row r="1" spans="1:10" x14ac:dyDescent="0.35">
      <c r="A1" t="s">
        <v>0</v>
      </c>
      <c r="B1" t="s">
        <v>17</v>
      </c>
      <c r="C1" t="s">
        <v>4</v>
      </c>
      <c r="D1" t="s">
        <v>2</v>
      </c>
      <c r="E1" t="s">
        <v>11</v>
      </c>
      <c r="F1" t="s">
        <v>12</v>
      </c>
      <c r="G1" t="s">
        <v>14</v>
      </c>
      <c r="H1" t="s">
        <v>25</v>
      </c>
      <c r="I1" t="s">
        <v>22</v>
      </c>
    </row>
    <row r="2" spans="1:10" x14ac:dyDescent="0.35">
      <c r="A2" t="s">
        <v>1</v>
      </c>
      <c r="B2" t="s">
        <v>18</v>
      </c>
      <c r="C2" t="s">
        <v>5</v>
      </c>
      <c r="D2" t="s">
        <v>3</v>
      </c>
      <c r="E2">
        <v>2016</v>
      </c>
      <c r="F2" t="s">
        <v>27</v>
      </c>
      <c r="G2" t="s">
        <v>15</v>
      </c>
      <c r="H2" t="s">
        <v>21</v>
      </c>
      <c r="I2" t="str">
        <f t="shared" ref="I2:I65" si="0">"mco_"&amp;B2&amp;"_"&amp;D2&amp;"_"&amp;E2&amp;"_"&amp;F2&amp;"_"&amp;G2</f>
        <v>mco_MET_0-1_2016_ALL_DEP</v>
      </c>
      <c r="J2" t="s">
        <v>26</v>
      </c>
    </row>
    <row r="3" spans="1:10" x14ac:dyDescent="0.35">
      <c r="A3" t="s">
        <v>1</v>
      </c>
      <c r="B3" t="s">
        <v>18</v>
      </c>
      <c r="C3" t="s">
        <v>5</v>
      </c>
      <c r="D3" t="s">
        <v>3</v>
      </c>
      <c r="E3">
        <v>2017</v>
      </c>
      <c r="F3" t="s">
        <v>27</v>
      </c>
      <c r="G3" t="s">
        <v>15</v>
      </c>
      <c r="H3" t="s">
        <v>21</v>
      </c>
      <c r="I3" t="str">
        <f t="shared" si="0"/>
        <v>mco_MET_0-1_2017_ALL_DEP</v>
      </c>
      <c r="J3" t="s">
        <v>26</v>
      </c>
    </row>
    <row r="4" spans="1:10" x14ac:dyDescent="0.35">
      <c r="A4" t="s">
        <v>1</v>
      </c>
      <c r="B4" t="s">
        <v>18</v>
      </c>
      <c r="C4" t="s">
        <v>5</v>
      </c>
      <c r="D4" t="s">
        <v>3</v>
      </c>
      <c r="E4">
        <v>2018</v>
      </c>
      <c r="F4" t="s">
        <v>27</v>
      </c>
      <c r="G4" t="s">
        <v>15</v>
      </c>
      <c r="H4" t="s">
        <v>21</v>
      </c>
      <c r="I4" t="str">
        <f t="shared" si="0"/>
        <v>mco_MET_0-1_2018_ALL_DEP</v>
      </c>
      <c r="J4" t="s">
        <v>26</v>
      </c>
    </row>
    <row r="5" spans="1:10" x14ac:dyDescent="0.35">
      <c r="A5" t="s">
        <v>1</v>
      </c>
      <c r="B5" t="s">
        <v>18</v>
      </c>
      <c r="C5" t="s">
        <v>5</v>
      </c>
      <c r="D5" t="s">
        <v>3</v>
      </c>
      <c r="E5">
        <v>2019</v>
      </c>
      <c r="F5" t="s">
        <v>27</v>
      </c>
      <c r="G5" t="s">
        <v>15</v>
      </c>
      <c r="H5" t="s">
        <v>21</v>
      </c>
      <c r="I5" t="str">
        <f t="shared" si="0"/>
        <v>mco_MET_0-1_2019_ALL_DEP</v>
      </c>
      <c r="J5" t="s">
        <v>26</v>
      </c>
    </row>
    <row r="6" spans="1:10" x14ac:dyDescent="0.35">
      <c r="A6" t="s">
        <v>1</v>
      </c>
      <c r="B6" t="s">
        <v>18</v>
      </c>
      <c r="C6" t="s">
        <v>5</v>
      </c>
      <c r="D6" t="s">
        <v>3</v>
      </c>
      <c r="E6">
        <v>2019</v>
      </c>
      <c r="F6" t="s">
        <v>27</v>
      </c>
      <c r="G6" t="s">
        <v>16</v>
      </c>
      <c r="H6" t="s">
        <v>21</v>
      </c>
      <c r="I6" t="str">
        <f t="shared" si="0"/>
        <v>mco_MET_0-1_2019_ALL_PMSI</v>
      </c>
      <c r="J6" t="s">
        <v>26</v>
      </c>
    </row>
    <row r="7" spans="1:10" x14ac:dyDescent="0.35">
      <c r="A7" t="s">
        <v>1</v>
      </c>
      <c r="B7" t="s">
        <v>18</v>
      </c>
      <c r="C7" t="s">
        <v>5</v>
      </c>
      <c r="D7" t="s">
        <v>3</v>
      </c>
      <c r="E7">
        <v>2020</v>
      </c>
      <c r="F7" t="s">
        <v>27</v>
      </c>
      <c r="G7" t="s">
        <v>15</v>
      </c>
      <c r="H7" t="s">
        <v>21</v>
      </c>
      <c r="I7" t="str">
        <f t="shared" si="0"/>
        <v>mco_MET_0-1_2020_ALL_DEP</v>
      </c>
      <c r="J7" t="s">
        <v>26</v>
      </c>
    </row>
    <row r="8" spans="1:10" x14ac:dyDescent="0.35">
      <c r="A8" t="s">
        <v>1</v>
      </c>
      <c r="B8" t="s">
        <v>18</v>
      </c>
      <c r="C8" t="s">
        <v>5</v>
      </c>
      <c r="D8" t="s">
        <v>3</v>
      </c>
      <c r="E8">
        <v>2020</v>
      </c>
      <c r="F8" t="s">
        <v>27</v>
      </c>
      <c r="G8" t="s">
        <v>16</v>
      </c>
      <c r="H8" t="s">
        <v>21</v>
      </c>
      <c r="I8" t="str">
        <f t="shared" si="0"/>
        <v>mco_MET_0-1_2020_ALL_PMSI</v>
      </c>
      <c r="J8" t="s">
        <v>26</v>
      </c>
    </row>
    <row r="9" spans="1:10" x14ac:dyDescent="0.35">
      <c r="A9" t="s">
        <v>1</v>
      </c>
      <c r="B9" t="s">
        <v>18</v>
      </c>
      <c r="C9" t="s">
        <v>5</v>
      </c>
      <c r="D9" t="s">
        <v>3</v>
      </c>
      <c r="E9">
        <v>2021</v>
      </c>
      <c r="F9" t="s">
        <v>27</v>
      </c>
      <c r="G9" t="s">
        <v>15</v>
      </c>
      <c r="H9" t="s">
        <v>21</v>
      </c>
      <c r="I9" t="str">
        <f t="shared" si="0"/>
        <v>mco_MET_0-1_2021_ALL_DEP</v>
      </c>
      <c r="J9" t="s">
        <v>26</v>
      </c>
    </row>
    <row r="10" spans="1:10" x14ac:dyDescent="0.35">
      <c r="A10" t="s">
        <v>1</v>
      </c>
      <c r="B10" t="s">
        <v>18</v>
      </c>
      <c r="C10" t="s">
        <v>5</v>
      </c>
      <c r="D10" t="s">
        <v>3</v>
      </c>
      <c r="E10">
        <v>2021</v>
      </c>
      <c r="F10" t="s">
        <v>27</v>
      </c>
      <c r="G10" t="s">
        <v>16</v>
      </c>
      <c r="H10" t="s">
        <v>21</v>
      </c>
      <c r="I10" t="str">
        <f t="shared" si="0"/>
        <v>mco_MET_0-1_2021_ALL_PMSI</v>
      </c>
      <c r="J10" t="s">
        <v>26</v>
      </c>
    </row>
    <row r="11" spans="1:10" x14ac:dyDescent="0.35">
      <c r="A11" t="s">
        <v>1</v>
      </c>
      <c r="B11" t="s">
        <v>18</v>
      </c>
      <c r="C11" t="s">
        <v>5</v>
      </c>
      <c r="D11" t="s">
        <v>3</v>
      </c>
      <c r="E11">
        <v>2022</v>
      </c>
      <c r="F11" t="s">
        <v>27</v>
      </c>
      <c r="G11" t="s">
        <v>15</v>
      </c>
      <c r="H11" t="s">
        <v>21</v>
      </c>
      <c r="I11" t="str">
        <f t="shared" si="0"/>
        <v>mco_MET_0-1_2022_ALL_DEP</v>
      </c>
      <c r="J11" t="s">
        <v>26</v>
      </c>
    </row>
    <row r="12" spans="1:10" x14ac:dyDescent="0.35">
      <c r="A12" t="s">
        <v>1</v>
      </c>
      <c r="B12" t="s">
        <v>18</v>
      </c>
      <c r="C12" t="s">
        <v>5</v>
      </c>
      <c r="D12" t="s">
        <v>3</v>
      </c>
      <c r="E12">
        <v>2022</v>
      </c>
      <c r="F12" t="s">
        <v>27</v>
      </c>
      <c r="G12" t="s">
        <v>16</v>
      </c>
      <c r="H12" t="s">
        <v>21</v>
      </c>
      <c r="I12" t="str">
        <f t="shared" si="0"/>
        <v>mco_MET_0-1_2022_ALL_PMSI</v>
      </c>
      <c r="J12" t="s">
        <v>26</v>
      </c>
    </row>
    <row r="13" spans="1:10" x14ac:dyDescent="0.35">
      <c r="A13" t="s">
        <v>1</v>
      </c>
      <c r="B13" t="s">
        <v>18</v>
      </c>
      <c r="C13" t="s">
        <v>5</v>
      </c>
      <c r="D13" t="s">
        <v>3</v>
      </c>
      <c r="E13">
        <v>2023</v>
      </c>
      <c r="F13" t="s">
        <v>27</v>
      </c>
      <c r="G13" t="s">
        <v>15</v>
      </c>
      <c r="H13" t="s">
        <v>21</v>
      </c>
      <c r="I13" t="str">
        <f t="shared" si="0"/>
        <v>mco_MET_0-1_2023_ALL_DEP</v>
      </c>
      <c r="J13" t="s">
        <v>26</v>
      </c>
    </row>
    <row r="14" spans="1:10" x14ac:dyDescent="0.35">
      <c r="A14" t="s">
        <v>1</v>
      </c>
      <c r="B14" t="s">
        <v>18</v>
      </c>
      <c r="C14" t="s">
        <v>5</v>
      </c>
      <c r="D14" t="s">
        <v>3</v>
      </c>
      <c r="E14">
        <v>2023</v>
      </c>
      <c r="F14" t="s">
        <v>27</v>
      </c>
      <c r="G14" t="s">
        <v>16</v>
      </c>
      <c r="H14" t="s">
        <v>21</v>
      </c>
      <c r="I14" t="str">
        <f t="shared" si="0"/>
        <v>mco_MET_0-1_2023_ALL_PMSI</v>
      </c>
      <c r="J14" t="s">
        <v>26</v>
      </c>
    </row>
    <row r="15" spans="1:10" x14ac:dyDescent="0.35">
      <c r="A15" t="s">
        <v>1</v>
      </c>
      <c r="B15" t="s">
        <v>18</v>
      </c>
      <c r="C15" t="s">
        <v>5</v>
      </c>
      <c r="D15" t="s">
        <v>3</v>
      </c>
      <c r="E15">
        <v>2024</v>
      </c>
      <c r="F15" t="s">
        <v>27</v>
      </c>
      <c r="G15" t="s">
        <v>15</v>
      </c>
      <c r="H15" t="s">
        <v>21</v>
      </c>
      <c r="I15" t="str">
        <f t="shared" si="0"/>
        <v>mco_MET_0-1_2024_ALL_DEP</v>
      </c>
      <c r="J15" t="s">
        <v>26</v>
      </c>
    </row>
    <row r="16" spans="1:10" x14ac:dyDescent="0.35">
      <c r="A16" t="s">
        <v>1</v>
      </c>
      <c r="B16" t="s">
        <v>18</v>
      </c>
      <c r="C16" t="s">
        <v>5</v>
      </c>
      <c r="D16" t="s">
        <v>3</v>
      </c>
      <c r="E16">
        <v>2024</v>
      </c>
      <c r="F16" t="s">
        <v>27</v>
      </c>
      <c r="G16" t="s">
        <v>16</v>
      </c>
      <c r="H16" t="s">
        <v>21</v>
      </c>
      <c r="I16" t="str">
        <f t="shared" si="0"/>
        <v>mco_MET_0-1_2024_ALL_PMSI</v>
      </c>
      <c r="J16" t="s">
        <v>26</v>
      </c>
    </row>
    <row r="17" spans="1:10" x14ac:dyDescent="0.35">
      <c r="A17" t="s">
        <v>1</v>
      </c>
      <c r="B17" t="s">
        <v>18</v>
      </c>
      <c r="C17" t="s">
        <v>5</v>
      </c>
      <c r="D17" t="s">
        <v>3</v>
      </c>
      <c r="E17">
        <v>2025</v>
      </c>
      <c r="F17" t="s">
        <v>27</v>
      </c>
      <c r="G17" t="s">
        <v>15</v>
      </c>
      <c r="H17" t="s">
        <v>21</v>
      </c>
      <c r="I17" t="str">
        <f t="shared" si="0"/>
        <v>mco_MET_0-1_2025_ALL_DEP</v>
      </c>
      <c r="J17" t="s">
        <v>26</v>
      </c>
    </row>
    <row r="18" spans="1:10" x14ac:dyDescent="0.35">
      <c r="A18" t="s">
        <v>1</v>
      </c>
      <c r="B18" t="s">
        <v>18</v>
      </c>
      <c r="C18" t="s">
        <v>5</v>
      </c>
      <c r="D18" t="s">
        <v>3</v>
      </c>
      <c r="E18">
        <v>2025</v>
      </c>
      <c r="F18" t="s">
        <v>27</v>
      </c>
      <c r="G18" t="s">
        <v>16</v>
      </c>
      <c r="H18" t="s">
        <v>21</v>
      </c>
      <c r="I18" t="str">
        <f t="shared" si="0"/>
        <v>mco_MET_0-1_2025_ALL_PMSI</v>
      </c>
      <c r="J18" t="s">
        <v>26</v>
      </c>
    </row>
    <row r="19" spans="1:10" x14ac:dyDescent="0.35">
      <c r="A19" t="s">
        <v>1</v>
      </c>
      <c r="B19" t="s">
        <v>18</v>
      </c>
      <c r="C19" t="s">
        <v>5</v>
      </c>
      <c r="D19" s="1" t="s">
        <v>6</v>
      </c>
      <c r="E19">
        <v>2016</v>
      </c>
      <c r="F19" t="s">
        <v>27</v>
      </c>
      <c r="G19" t="s">
        <v>15</v>
      </c>
      <c r="H19" t="s">
        <v>21</v>
      </c>
      <c r="I19" t="str">
        <f t="shared" si="0"/>
        <v>mco_MET_2-4_2016_ALL_DEP</v>
      </c>
      <c r="J19" t="s">
        <v>26</v>
      </c>
    </row>
    <row r="20" spans="1:10" x14ac:dyDescent="0.35">
      <c r="A20" t="s">
        <v>1</v>
      </c>
      <c r="B20" t="s">
        <v>18</v>
      </c>
      <c r="C20" t="s">
        <v>5</v>
      </c>
      <c r="D20" s="1" t="s">
        <v>6</v>
      </c>
      <c r="E20">
        <v>2017</v>
      </c>
      <c r="F20" t="s">
        <v>27</v>
      </c>
      <c r="G20" t="s">
        <v>15</v>
      </c>
      <c r="H20" t="s">
        <v>21</v>
      </c>
      <c r="I20" t="str">
        <f t="shared" si="0"/>
        <v>mco_MET_2-4_2017_ALL_DEP</v>
      </c>
      <c r="J20" t="s">
        <v>26</v>
      </c>
    </row>
    <row r="21" spans="1:10" x14ac:dyDescent="0.35">
      <c r="A21" t="s">
        <v>1</v>
      </c>
      <c r="B21" t="s">
        <v>18</v>
      </c>
      <c r="C21" t="s">
        <v>5</v>
      </c>
      <c r="D21" s="1" t="s">
        <v>6</v>
      </c>
      <c r="E21">
        <v>2018</v>
      </c>
      <c r="F21" t="s">
        <v>27</v>
      </c>
      <c r="G21" t="s">
        <v>15</v>
      </c>
      <c r="H21" t="s">
        <v>21</v>
      </c>
      <c r="I21" t="str">
        <f t="shared" si="0"/>
        <v>mco_MET_2-4_2018_ALL_DEP</v>
      </c>
      <c r="J21" t="s">
        <v>26</v>
      </c>
    </row>
    <row r="22" spans="1:10" x14ac:dyDescent="0.35">
      <c r="A22" t="s">
        <v>1</v>
      </c>
      <c r="B22" t="s">
        <v>18</v>
      </c>
      <c r="C22" t="s">
        <v>5</v>
      </c>
      <c r="D22" s="1" t="s">
        <v>6</v>
      </c>
      <c r="E22">
        <v>2019</v>
      </c>
      <c r="F22" t="s">
        <v>27</v>
      </c>
      <c r="G22" t="s">
        <v>15</v>
      </c>
      <c r="H22" t="s">
        <v>21</v>
      </c>
      <c r="I22" t="str">
        <f t="shared" si="0"/>
        <v>mco_MET_2-4_2019_ALL_DEP</v>
      </c>
      <c r="J22" t="s">
        <v>26</v>
      </c>
    </row>
    <row r="23" spans="1:10" x14ac:dyDescent="0.35">
      <c r="A23" t="s">
        <v>1</v>
      </c>
      <c r="B23" t="s">
        <v>18</v>
      </c>
      <c r="C23" t="s">
        <v>5</v>
      </c>
      <c r="D23" s="1" t="s">
        <v>6</v>
      </c>
      <c r="E23">
        <v>2019</v>
      </c>
      <c r="F23" t="s">
        <v>27</v>
      </c>
      <c r="G23" t="s">
        <v>16</v>
      </c>
      <c r="H23" t="s">
        <v>21</v>
      </c>
      <c r="I23" t="str">
        <f t="shared" si="0"/>
        <v>mco_MET_2-4_2019_ALL_PMSI</v>
      </c>
      <c r="J23" t="s">
        <v>26</v>
      </c>
    </row>
    <row r="24" spans="1:10" x14ac:dyDescent="0.35">
      <c r="A24" t="s">
        <v>1</v>
      </c>
      <c r="B24" t="s">
        <v>18</v>
      </c>
      <c r="C24" t="s">
        <v>5</v>
      </c>
      <c r="D24" s="1" t="s">
        <v>6</v>
      </c>
      <c r="E24">
        <v>2020</v>
      </c>
      <c r="F24" t="s">
        <v>27</v>
      </c>
      <c r="G24" t="s">
        <v>15</v>
      </c>
      <c r="H24" t="s">
        <v>21</v>
      </c>
      <c r="I24" t="str">
        <f t="shared" si="0"/>
        <v>mco_MET_2-4_2020_ALL_DEP</v>
      </c>
      <c r="J24" t="s">
        <v>26</v>
      </c>
    </row>
    <row r="25" spans="1:10" x14ac:dyDescent="0.35">
      <c r="A25" t="s">
        <v>1</v>
      </c>
      <c r="B25" t="s">
        <v>18</v>
      </c>
      <c r="C25" t="s">
        <v>5</v>
      </c>
      <c r="D25" s="1" t="s">
        <v>6</v>
      </c>
      <c r="E25">
        <v>2020</v>
      </c>
      <c r="F25" t="s">
        <v>27</v>
      </c>
      <c r="G25" t="s">
        <v>16</v>
      </c>
      <c r="H25" t="s">
        <v>21</v>
      </c>
      <c r="I25" t="str">
        <f t="shared" si="0"/>
        <v>mco_MET_2-4_2020_ALL_PMSI</v>
      </c>
      <c r="J25" t="s">
        <v>26</v>
      </c>
    </row>
    <row r="26" spans="1:10" x14ac:dyDescent="0.35">
      <c r="A26" t="s">
        <v>1</v>
      </c>
      <c r="B26" t="s">
        <v>18</v>
      </c>
      <c r="C26" t="s">
        <v>5</v>
      </c>
      <c r="D26" s="1" t="s">
        <v>6</v>
      </c>
      <c r="E26">
        <v>2021</v>
      </c>
      <c r="F26" t="s">
        <v>27</v>
      </c>
      <c r="G26" t="s">
        <v>15</v>
      </c>
      <c r="H26" t="s">
        <v>21</v>
      </c>
      <c r="I26" t="str">
        <f t="shared" si="0"/>
        <v>mco_MET_2-4_2021_ALL_DEP</v>
      </c>
      <c r="J26" t="s">
        <v>26</v>
      </c>
    </row>
    <row r="27" spans="1:10" x14ac:dyDescent="0.35">
      <c r="A27" t="s">
        <v>1</v>
      </c>
      <c r="B27" t="s">
        <v>18</v>
      </c>
      <c r="C27" t="s">
        <v>5</v>
      </c>
      <c r="D27" s="1" t="s">
        <v>6</v>
      </c>
      <c r="E27">
        <v>2021</v>
      </c>
      <c r="F27" t="s">
        <v>27</v>
      </c>
      <c r="G27" t="s">
        <v>16</v>
      </c>
      <c r="H27" t="s">
        <v>21</v>
      </c>
      <c r="I27" t="str">
        <f t="shared" si="0"/>
        <v>mco_MET_2-4_2021_ALL_PMSI</v>
      </c>
      <c r="J27" t="s">
        <v>26</v>
      </c>
    </row>
    <row r="28" spans="1:10" x14ac:dyDescent="0.35">
      <c r="A28" t="s">
        <v>1</v>
      </c>
      <c r="B28" t="s">
        <v>18</v>
      </c>
      <c r="C28" t="s">
        <v>5</v>
      </c>
      <c r="D28" s="1" t="s">
        <v>6</v>
      </c>
      <c r="E28">
        <v>2022</v>
      </c>
      <c r="F28" t="s">
        <v>27</v>
      </c>
      <c r="G28" t="s">
        <v>15</v>
      </c>
      <c r="H28" t="s">
        <v>21</v>
      </c>
      <c r="I28" t="str">
        <f t="shared" si="0"/>
        <v>mco_MET_2-4_2022_ALL_DEP</v>
      </c>
      <c r="J28" t="s">
        <v>26</v>
      </c>
    </row>
    <row r="29" spans="1:10" x14ac:dyDescent="0.35">
      <c r="A29" t="s">
        <v>1</v>
      </c>
      <c r="B29" t="s">
        <v>18</v>
      </c>
      <c r="C29" t="s">
        <v>5</v>
      </c>
      <c r="D29" s="1" t="s">
        <v>6</v>
      </c>
      <c r="E29">
        <v>2022</v>
      </c>
      <c r="F29" t="s">
        <v>27</v>
      </c>
      <c r="G29" t="s">
        <v>16</v>
      </c>
      <c r="H29" t="s">
        <v>21</v>
      </c>
      <c r="I29" t="str">
        <f t="shared" si="0"/>
        <v>mco_MET_2-4_2022_ALL_PMSI</v>
      </c>
      <c r="J29" t="s">
        <v>26</v>
      </c>
    </row>
    <row r="30" spans="1:10" x14ac:dyDescent="0.35">
      <c r="A30" t="s">
        <v>1</v>
      </c>
      <c r="B30" t="s">
        <v>18</v>
      </c>
      <c r="C30" t="s">
        <v>5</v>
      </c>
      <c r="D30" s="1" t="s">
        <v>6</v>
      </c>
      <c r="E30">
        <v>2023</v>
      </c>
      <c r="F30" t="s">
        <v>27</v>
      </c>
      <c r="G30" t="s">
        <v>15</v>
      </c>
      <c r="H30" t="s">
        <v>21</v>
      </c>
      <c r="I30" t="str">
        <f t="shared" si="0"/>
        <v>mco_MET_2-4_2023_ALL_DEP</v>
      </c>
      <c r="J30" t="s">
        <v>26</v>
      </c>
    </row>
    <row r="31" spans="1:10" x14ac:dyDescent="0.35">
      <c r="A31" t="s">
        <v>1</v>
      </c>
      <c r="B31" t="s">
        <v>18</v>
      </c>
      <c r="C31" t="s">
        <v>5</v>
      </c>
      <c r="D31" s="1" t="s">
        <v>6</v>
      </c>
      <c r="E31">
        <v>2023</v>
      </c>
      <c r="F31" t="s">
        <v>27</v>
      </c>
      <c r="G31" t="s">
        <v>16</v>
      </c>
      <c r="H31" t="s">
        <v>21</v>
      </c>
      <c r="I31" t="str">
        <f t="shared" si="0"/>
        <v>mco_MET_2-4_2023_ALL_PMSI</v>
      </c>
      <c r="J31" t="s">
        <v>26</v>
      </c>
    </row>
    <row r="32" spans="1:10" x14ac:dyDescent="0.35">
      <c r="A32" t="s">
        <v>1</v>
      </c>
      <c r="B32" t="s">
        <v>18</v>
      </c>
      <c r="C32" t="s">
        <v>5</v>
      </c>
      <c r="D32" s="1" t="s">
        <v>6</v>
      </c>
      <c r="E32">
        <v>2024</v>
      </c>
      <c r="F32" t="s">
        <v>27</v>
      </c>
      <c r="G32" t="s">
        <v>15</v>
      </c>
      <c r="H32" t="s">
        <v>21</v>
      </c>
      <c r="I32" t="str">
        <f t="shared" si="0"/>
        <v>mco_MET_2-4_2024_ALL_DEP</v>
      </c>
      <c r="J32" t="s">
        <v>26</v>
      </c>
    </row>
    <row r="33" spans="1:10" x14ac:dyDescent="0.35">
      <c r="A33" t="s">
        <v>1</v>
      </c>
      <c r="B33" t="s">
        <v>18</v>
      </c>
      <c r="C33" t="s">
        <v>5</v>
      </c>
      <c r="D33" s="1" t="s">
        <v>6</v>
      </c>
      <c r="E33">
        <v>2024</v>
      </c>
      <c r="F33" t="s">
        <v>27</v>
      </c>
      <c r="G33" t="s">
        <v>16</v>
      </c>
      <c r="H33" t="s">
        <v>21</v>
      </c>
      <c r="I33" t="str">
        <f t="shared" si="0"/>
        <v>mco_MET_2-4_2024_ALL_PMSI</v>
      </c>
      <c r="J33" t="s">
        <v>26</v>
      </c>
    </row>
    <row r="34" spans="1:10" x14ac:dyDescent="0.35">
      <c r="A34" t="s">
        <v>1</v>
      </c>
      <c r="B34" t="s">
        <v>18</v>
      </c>
      <c r="C34" t="s">
        <v>5</v>
      </c>
      <c r="D34" s="1" t="s">
        <v>6</v>
      </c>
      <c r="E34">
        <v>2025</v>
      </c>
      <c r="F34" t="s">
        <v>27</v>
      </c>
      <c r="G34" t="s">
        <v>15</v>
      </c>
      <c r="H34" t="s">
        <v>21</v>
      </c>
      <c r="I34" t="str">
        <f t="shared" si="0"/>
        <v>mco_MET_2-4_2025_ALL_DEP</v>
      </c>
      <c r="J34" t="s">
        <v>26</v>
      </c>
    </row>
    <row r="35" spans="1:10" x14ac:dyDescent="0.35">
      <c r="A35" t="s">
        <v>1</v>
      </c>
      <c r="B35" t="s">
        <v>18</v>
      </c>
      <c r="C35" t="s">
        <v>5</v>
      </c>
      <c r="D35" s="1" t="s">
        <v>6</v>
      </c>
      <c r="E35">
        <v>2025</v>
      </c>
      <c r="F35" t="s">
        <v>27</v>
      </c>
      <c r="G35" t="s">
        <v>16</v>
      </c>
      <c r="H35" t="s">
        <v>21</v>
      </c>
      <c r="I35" t="str">
        <f t="shared" si="0"/>
        <v>mco_MET_2-4_2025_ALL_PMSI</v>
      </c>
      <c r="J35" t="s">
        <v>26</v>
      </c>
    </row>
    <row r="36" spans="1:10" x14ac:dyDescent="0.35">
      <c r="A36" t="s">
        <v>1</v>
      </c>
      <c r="B36" t="s">
        <v>18</v>
      </c>
      <c r="C36" t="s">
        <v>5</v>
      </c>
      <c r="D36" s="1" t="s">
        <v>7</v>
      </c>
      <c r="E36">
        <v>2016</v>
      </c>
      <c r="F36" t="s">
        <v>27</v>
      </c>
      <c r="G36" t="s">
        <v>15</v>
      </c>
      <c r="H36" t="s">
        <v>21</v>
      </c>
      <c r="I36" t="str">
        <f t="shared" si="0"/>
        <v>mco_MET_5-17_2016_ALL_DEP</v>
      </c>
      <c r="J36" t="s">
        <v>26</v>
      </c>
    </row>
    <row r="37" spans="1:10" x14ac:dyDescent="0.35">
      <c r="A37" t="s">
        <v>1</v>
      </c>
      <c r="B37" t="s">
        <v>18</v>
      </c>
      <c r="C37" t="s">
        <v>5</v>
      </c>
      <c r="D37" s="1" t="s">
        <v>7</v>
      </c>
      <c r="E37">
        <v>2017</v>
      </c>
      <c r="F37" t="s">
        <v>27</v>
      </c>
      <c r="G37" t="s">
        <v>15</v>
      </c>
      <c r="H37" t="s">
        <v>21</v>
      </c>
      <c r="I37" t="str">
        <f t="shared" si="0"/>
        <v>mco_MET_5-17_2017_ALL_DEP</v>
      </c>
      <c r="J37" t="s">
        <v>26</v>
      </c>
    </row>
    <row r="38" spans="1:10" x14ac:dyDescent="0.35">
      <c r="A38" t="s">
        <v>1</v>
      </c>
      <c r="B38" t="s">
        <v>18</v>
      </c>
      <c r="C38" t="s">
        <v>5</v>
      </c>
      <c r="D38" s="1" t="s">
        <v>7</v>
      </c>
      <c r="E38">
        <v>2018</v>
      </c>
      <c r="F38" t="s">
        <v>27</v>
      </c>
      <c r="G38" t="s">
        <v>15</v>
      </c>
      <c r="H38" t="s">
        <v>21</v>
      </c>
      <c r="I38" t="str">
        <f t="shared" si="0"/>
        <v>mco_MET_5-17_2018_ALL_DEP</v>
      </c>
      <c r="J38" t="s">
        <v>26</v>
      </c>
    </row>
    <row r="39" spans="1:10" x14ac:dyDescent="0.35">
      <c r="A39" t="s">
        <v>1</v>
      </c>
      <c r="B39" t="s">
        <v>18</v>
      </c>
      <c r="C39" t="s">
        <v>5</v>
      </c>
      <c r="D39" s="1" t="s">
        <v>7</v>
      </c>
      <c r="E39">
        <v>2019</v>
      </c>
      <c r="F39" t="s">
        <v>27</v>
      </c>
      <c r="G39" t="s">
        <v>15</v>
      </c>
      <c r="H39" t="s">
        <v>21</v>
      </c>
      <c r="I39" t="str">
        <f t="shared" si="0"/>
        <v>mco_MET_5-17_2019_ALL_DEP</v>
      </c>
      <c r="J39" t="s">
        <v>26</v>
      </c>
    </row>
    <row r="40" spans="1:10" x14ac:dyDescent="0.35">
      <c r="A40" t="s">
        <v>1</v>
      </c>
      <c r="B40" t="s">
        <v>18</v>
      </c>
      <c r="C40" t="s">
        <v>5</v>
      </c>
      <c r="D40" s="1" t="s">
        <v>7</v>
      </c>
      <c r="E40">
        <v>2019</v>
      </c>
      <c r="F40" t="s">
        <v>27</v>
      </c>
      <c r="G40" t="s">
        <v>16</v>
      </c>
      <c r="H40" t="s">
        <v>21</v>
      </c>
      <c r="I40" t="str">
        <f t="shared" si="0"/>
        <v>mco_MET_5-17_2019_ALL_PMSI</v>
      </c>
      <c r="J40" t="s">
        <v>26</v>
      </c>
    </row>
    <row r="41" spans="1:10" x14ac:dyDescent="0.35">
      <c r="A41" t="s">
        <v>1</v>
      </c>
      <c r="B41" t="s">
        <v>18</v>
      </c>
      <c r="C41" t="s">
        <v>5</v>
      </c>
      <c r="D41" s="1" t="s">
        <v>7</v>
      </c>
      <c r="E41">
        <v>2020</v>
      </c>
      <c r="F41" t="s">
        <v>27</v>
      </c>
      <c r="G41" t="s">
        <v>15</v>
      </c>
      <c r="H41" t="s">
        <v>21</v>
      </c>
      <c r="I41" t="str">
        <f t="shared" si="0"/>
        <v>mco_MET_5-17_2020_ALL_DEP</v>
      </c>
      <c r="J41" t="s">
        <v>26</v>
      </c>
    </row>
    <row r="42" spans="1:10" x14ac:dyDescent="0.35">
      <c r="A42" t="s">
        <v>1</v>
      </c>
      <c r="B42" t="s">
        <v>18</v>
      </c>
      <c r="C42" t="s">
        <v>5</v>
      </c>
      <c r="D42" s="1" t="s">
        <v>7</v>
      </c>
      <c r="E42">
        <v>2020</v>
      </c>
      <c r="F42" t="s">
        <v>27</v>
      </c>
      <c r="G42" t="s">
        <v>16</v>
      </c>
      <c r="H42" t="s">
        <v>21</v>
      </c>
      <c r="I42" t="str">
        <f t="shared" si="0"/>
        <v>mco_MET_5-17_2020_ALL_PMSI</v>
      </c>
      <c r="J42" t="s">
        <v>26</v>
      </c>
    </row>
    <row r="43" spans="1:10" x14ac:dyDescent="0.35">
      <c r="A43" t="s">
        <v>1</v>
      </c>
      <c r="B43" t="s">
        <v>18</v>
      </c>
      <c r="C43" t="s">
        <v>5</v>
      </c>
      <c r="D43" s="1" t="s">
        <v>7</v>
      </c>
      <c r="E43">
        <v>2021</v>
      </c>
      <c r="F43" t="s">
        <v>27</v>
      </c>
      <c r="G43" t="s">
        <v>15</v>
      </c>
      <c r="H43" t="s">
        <v>21</v>
      </c>
      <c r="I43" t="str">
        <f t="shared" si="0"/>
        <v>mco_MET_5-17_2021_ALL_DEP</v>
      </c>
      <c r="J43" t="s">
        <v>26</v>
      </c>
    </row>
    <row r="44" spans="1:10" x14ac:dyDescent="0.35">
      <c r="A44" t="s">
        <v>1</v>
      </c>
      <c r="B44" t="s">
        <v>18</v>
      </c>
      <c r="C44" t="s">
        <v>5</v>
      </c>
      <c r="D44" s="1" t="s">
        <v>7</v>
      </c>
      <c r="E44">
        <v>2021</v>
      </c>
      <c r="F44" t="s">
        <v>27</v>
      </c>
      <c r="G44" t="s">
        <v>16</v>
      </c>
      <c r="H44" t="s">
        <v>21</v>
      </c>
      <c r="I44" t="str">
        <f t="shared" si="0"/>
        <v>mco_MET_5-17_2021_ALL_PMSI</v>
      </c>
      <c r="J44" t="s">
        <v>26</v>
      </c>
    </row>
    <row r="45" spans="1:10" x14ac:dyDescent="0.35">
      <c r="A45" t="s">
        <v>1</v>
      </c>
      <c r="B45" t="s">
        <v>18</v>
      </c>
      <c r="C45" t="s">
        <v>5</v>
      </c>
      <c r="D45" s="1" t="s">
        <v>7</v>
      </c>
      <c r="E45">
        <v>2022</v>
      </c>
      <c r="F45" t="s">
        <v>27</v>
      </c>
      <c r="G45" t="s">
        <v>15</v>
      </c>
      <c r="H45" t="s">
        <v>21</v>
      </c>
      <c r="I45" t="str">
        <f t="shared" si="0"/>
        <v>mco_MET_5-17_2022_ALL_DEP</v>
      </c>
      <c r="J45" t="s">
        <v>26</v>
      </c>
    </row>
    <row r="46" spans="1:10" x14ac:dyDescent="0.35">
      <c r="A46" t="s">
        <v>1</v>
      </c>
      <c r="B46" t="s">
        <v>18</v>
      </c>
      <c r="C46" t="s">
        <v>5</v>
      </c>
      <c r="D46" s="1" t="s">
        <v>7</v>
      </c>
      <c r="E46">
        <v>2022</v>
      </c>
      <c r="F46" t="s">
        <v>27</v>
      </c>
      <c r="G46" t="s">
        <v>16</v>
      </c>
      <c r="H46" t="s">
        <v>21</v>
      </c>
      <c r="I46" t="str">
        <f t="shared" si="0"/>
        <v>mco_MET_5-17_2022_ALL_PMSI</v>
      </c>
      <c r="J46" t="s">
        <v>26</v>
      </c>
    </row>
    <row r="47" spans="1:10" x14ac:dyDescent="0.35">
      <c r="A47" t="s">
        <v>1</v>
      </c>
      <c r="B47" t="s">
        <v>18</v>
      </c>
      <c r="C47" t="s">
        <v>5</v>
      </c>
      <c r="D47" s="1" t="s">
        <v>7</v>
      </c>
      <c r="E47">
        <v>2023</v>
      </c>
      <c r="F47" t="s">
        <v>27</v>
      </c>
      <c r="G47" t="s">
        <v>15</v>
      </c>
      <c r="H47" t="s">
        <v>21</v>
      </c>
      <c r="I47" t="str">
        <f t="shared" si="0"/>
        <v>mco_MET_5-17_2023_ALL_DEP</v>
      </c>
      <c r="J47" t="s">
        <v>26</v>
      </c>
    </row>
    <row r="48" spans="1:10" x14ac:dyDescent="0.35">
      <c r="A48" t="s">
        <v>1</v>
      </c>
      <c r="B48" t="s">
        <v>18</v>
      </c>
      <c r="C48" t="s">
        <v>5</v>
      </c>
      <c r="D48" s="1" t="s">
        <v>7</v>
      </c>
      <c r="E48">
        <v>2023</v>
      </c>
      <c r="F48" t="s">
        <v>27</v>
      </c>
      <c r="G48" t="s">
        <v>16</v>
      </c>
      <c r="H48" t="s">
        <v>21</v>
      </c>
      <c r="I48" t="str">
        <f t="shared" si="0"/>
        <v>mco_MET_5-17_2023_ALL_PMSI</v>
      </c>
      <c r="J48" t="s">
        <v>26</v>
      </c>
    </row>
    <row r="49" spans="1:10" x14ac:dyDescent="0.35">
      <c r="A49" t="s">
        <v>1</v>
      </c>
      <c r="B49" t="s">
        <v>18</v>
      </c>
      <c r="C49" t="s">
        <v>5</v>
      </c>
      <c r="D49" s="1" t="s">
        <v>7</v>
      </c>
      <c r="E49">
        <v>2024</v>
      </c>
      <c r="F49" t="s">
        <v>27</v>
      </c>
      <c r="G49" t="s">
        <v>15</v>
      </c>
      <c r="H49" t="s">
        <v>21</v>
      </c>
      <c r="I49" t="str">
        <f t="shared" si="0"/>
        <v>mco_MET_5-17_2024_ALL_DEP</v>
      </c>
      <c r="J49" t="s">
        <v>26</v>
      </c>
    </row>
    <row r="50" spans="1:10" x14ac:dyDescent="0.35">
      <c r="A50" t="s">
        <v>1</v>
      </c>
      <c r="B50" t="s">
        <v>18</v>
      </c>
      <c r="C50" t="s">
        <v>5</v>
      </c>
      <c r="D50" s="1" t="s">
        <v>7</v>
      </c>
      <c r="E50">
        <v>2024</v>
      </c>
      <c r="F50" t="s">
        <v>27</v>
      </c>
      <c r="G50" t="s">
        <v>16</v>
      </c>
      <c r="H50" t="s">
        <v>21</v>
      </c>
      <c r="I50" t="str">
        <f t="shared" si="0"/>
        <v>mco_MET_5-17_2024_ALL_PMSI</v>
      </c>
      <c r="J50" t="s">
        <v>26</v>
      </c>
    </row>
    <row r="51" spans="1:10" x14ac:dyDescent="0.35">
      <c r="A51" t="s">
        <v>1</v>
      </c>
      <c r="B51" t="s">
        <v>18</v>
      </c>
      <c r="C51" t="s">
        <v>5</v>
      </c>
      <c r="D51" s="1" t="s">
        <v>7</v>
      </c>
      <c r="E51">
        <v>2025</v>
      </c>
      <c r="F51" t="s">
        <v>27</v>
      </c>
      <c r="G51" t="s">
        <v>15</v>
      </c>
      <c r="H51" t="s">
        <v>21</v>
      </c>
      <c r="I51" t="str">
        <f t="shared" si="0"/>
        <v>mco_MET_5-17_2025_ALL_DEP</v>
      </c>
      <c r="J51" t="s">
        <v>26</v>
      </c>
    </row>
    <row r="52" spans="1:10" x14ac:dyDescent="0.35">
      <c r="A52" t="s">
        <v>1</v>
      </c>
      <c r="B52" t="s">
        <v>18</v>
      </c>
      <c r="C52" t="s">
        <v>5</v>
      </c>
      <c r="D52" s="1" t="s">
        <v>7</v>
      </c>
      <c r="E52">
        <v>2025</v>
      </c>
      <c r="F52" t="s">
        <v>27</v>
      </c>
      <c r="G52" t="s">
        <v>16</v>
      </c>
      <c r="H52" t="s">
        <v>21</v>
      </c>
      <c r="I52" t="str">
        <f t="shared" si="0"/>
        <v>mco_MET_5-17_2025_ALL_PMSI</v>
      </c>
      <c r="J52" t="s">
        <v>26</v>
      </c>
    </row>
    <row r="53" spans="1:10" x14ac:dyDescent="0.35">
      <c r="A53" t="s">
        <v>1</v>
      </c>
      <c r="B53" t="s">
        <v>18</v>
      </c>
      <c r="C53" t="s">
        <v>5</v>
      </c>
      <c r="D53" s="1" t="s">
        <v>8</v>
      </c>
      <c r="E53">
        <v>2016</v>
      </c>
      <c r="F53" t="s">
        <v>27</v>
      </c>
      <c r="G53" t="s">
        <v>15</v>
      </c>
      <c r="H53" t="s">
        <v>21</v>
      </c>
      <c r="I53" t="str">
        <f t="shared" si="0"/>
        <v>mco_MET_18-64_2016_ALL_DEP</v>
      </c>
      <c r="J53" t="s">
        <v>26</v>
      </c>
    </row>
    <row r="54" spans="1:10" x14ac:dyDescent="0.35">
      <c r="A54" t="s">
        <v>1</v>
      </c>
      <c r="B54" t="s">
        <v>18</v>
      </c>
      <c r="C54" t="s">
        <v>5</v>
      </c>
      <c r="D54" s="1" t="s">
        <v>8</v>
      </c>
      <c r="E54">
        <v>2017</v>
      </c>
      <c r="F54" t="s">
        <v>27</v>
      </c>
      <c r="G54" t="s">
        <v>15</v>
      </c>
      <c r="H54" t="s">
        <v>21</v>
      </c>
      <c r="I54" t="str">
        <f t="shared" si="0"/>
        <v>mco_MET_18-64_2017_ALL_DEP</v>
      </c>
      <c r="J54" t="s">
        <v>26</v>
      </c>
    </row>
    <row r="55" spans="1:10" x14ac:dyDescent="0.35">
      <c r="A55" t="s">
        <v>1</v>
      </c>
      <c r="B55" t="s">
        <v>18</v>
      </c>
      <c r="C55" t="s">
        <v>5</v>
      </c>
      <c r="D55" s="1" t="s">
        <v>8</v>
      </c>
      <c r="E55">
        <v>2018</v>
      </c>
      <c r="F55" t="s">
        <v>27</v>
      </c>
      <c r="G55" t="s">
        <v>15</v>
      </c>
      <c r="H55" t="s">
        <v>21</v>
      </c>
      <c r="I55" t="str">
        <f t="shared" si="0"/>
        <v>mco_MET_18-64_2018_ALL_DEP</v>
      </c>
      <c r="J55" t="s">
        <v>26</v>
      </c>
    </row>
    <row r="56" spans="1:10" x14ac:dyDescent="0.35">
      <c r="A56" t="s">
        <v>1</v>
      </c>
      <c r="B56" t="s">
        <v>18</v>
      </c>
      <c r="C56" t="s">
        <v>5</v>
      </c>
      <c r="D56" s="1" t="s">
        <v>8</v>
      </c>
      <c r="E56">
        <v>2019</v>
      </c>
      <c r="F56" t="s">
        <v>27</v>
      </c>
      <c r="G56" t="s">
        <v>15</v>
      </c>
      <c r="H56" t="s">
        <v>21</v>
      </c>
      <c r="I56" t="str">
        <f t="shared" si="0"/>
        <v>mco_MET_18-64_2019_ALL_DEP</v>
      </c>
      <c r="J56" t="s">
        <v>26</v>
      </c>
    </row>
    <row r="57" spans="1:10" x14ac:dyDescent="0.35">
      <c r="A57" t="s">
        <v>1</v>
      </c>
      <c r="B57" t="s">
        <v>18</v>
      </c>
      <c r="C57" t="s">
        <v>5</v>
      </c>
      <c r="D57" s="1" t="s">
        <v>8</v>
      </c>
      <c r="E57">
        <v>2019</v>
      </c>
      <c r="F57" t="s">
        <v>27</v>
      </c>
      <c r="G57" t="s">
        <v>16</v>
      </c>
      <c r="H57" t="s">
        <v>21</v>
      </c>
      <c r="I57" t="str">
        <f t="shared" si="0"/>
        <v>mco_MET_18-64_2019_ALL_PMSI</v>
      </c>
      <c r="J57" t="s">
        <v>26</v>
      </c>
    </row>
    <row r="58" spans="1:10" x14ac:dyDescent="0.35">
      <c r="A58" t="s">
        <v>1</v>
      </c>
      <c r="B58" t="s">
        <v>18</v>
      </c>
      <c r="C58" t="s">
        <v>5</v>
      </c>
      <c r="D58" s="1" t="s">
        <v>8</v>
      </c>
      <c r="E58">
        <v>2020</v>
      </c>
      <c r="F58" t="s">
        <v>27</v>
      </c>
      <c r="G58" t="s">
        <v>15</v>
      </c>
      <c r="H58" t="s">
        <v>21</v>
      </c>
      <c r="I58" t="str">
        <f t="shared" si="0"/>
        <v>mco_MET_18-64_2020_ALL_DEP</v>
      </c>
      <c r="J58" t="s">
        <v>26</v>
      </c>
    </row>
    <row r="59" spans="1:10" x14ac:dyDescent="0.35">
      <c r="A59" t="s">
        <v>1</v>
      </c>
      <c r="B59" t="s">
        <v>18</v>
      </c>
      <c r="C59" t="s">
        <v>5</v>
      </c>
      <c r="D59" s="1" t="s">
        <v>8</v>
      </c>
      <c r="E59">
        <v>2020</v>
      </c>
      <c r="F59" t="s">
        <v>27</v>
      </c>
      <c r="G59" t="s">
        <v>16</v>
      </c>
      <c r="H59" t="s">
        <v>21</v>
      </c>
      <c r="I59" t="str">
        <f t="shared" si="0"/>
        <v>mco_MET_18-64_2020_ALL_PMSI</v>
      </c>
      <c r="J59" t="s">
        <v>26</v>
      </c>
    </row>
    <row r="60" spans="1:10" x14ac:dyDescent="0.35">
      <c r="A60" t="s">
        <v>1</v>
      </c>
      <c r="B60" t="s">
        <v>18</v>
      </c>
      <c r="C60" t="s">
        <v>5</v>
      </c>
      <c r="D60" s="1" t="s">
        <v>8</v>
      </c>
      <c r="E60">
        <v>2021</v>
      </c>
      <c r="F60" t="s">
        <v>27</v>
      </c>
      <c r="G60" t="s">
        <v>15</v>
      </c>
      <c r="H60" t="s">
        <v>21</v>
      </c>
      <c r="I60" t="str">
        <f t="shared" si="0"/>
        <v>mco_MET_18-64_2021_ALL_DEP</v>
      </c>
      <c r="J60" t="s">
        <v>26</v>
      </c>
    </row>
    <row r="61" spans="1:10" x14ac:dyDescent="0.35">
      <c r="A61" t="s">
        <v>1</v>
      </c>
      <c r="B61" t="s">
        <v>18</v>
      </c>
      <c r="C61" t="s">
        <v>5</v>
      </c>
      <c r="D61" s="1" t="s">
        <v>8</v>
      </c>
      <c r="E61">
        <v>2021</v>
      </c>
      <c r="F61" t="s">
        <v>27</v>
      </c>
      <c r="G61" t="s">
        <v>16</v>
      </c>
      <c r="H61" t="s">
        <v>21</v>
      </c>
      <c r="I61" t="str">
        <f t="shared" si="0"/>
        <v>mco_MET_18-64_2021_ALL_PMSI</v>
      </c>
      <c r="J61" t="s">
        <v>26</v>
      </c>
    </row>
    <row r="62" spans="1:10" x14ac:dyDescent="0.35">
      <c r="A62" t="s">
        <v>1</v>
      </c>
      <c r="B62" t="s">
        <v>18</v>
      </c>
      <c r="C62" t="s">
        <v>5</v>
      </c>
      <c r="D62" s="1" t="s">
        <v>8</v>
      </c>
      <c r="E62">
        <v>2022</v>
      </c>
      <c r="F62" t="s">
        <v>27</v>
      </c>
      <c r="G62" t="s">
        <v>15</v>
      </c>
      <c r="H62" t="s">
        <v>21</v>
      </c>
      <c r="I62" t="str">
        <f t="shared" si="0"/>
        <v>mco_MET_18-64_2022_ALL_DEP</v>
      </c>
      <c r="J62" t="s">
        <v>26</v>
      </c>
    </row>
    <row r="63" spans="1:10" x14ac:dyDescent="0.35">
      <c r="A63" t="s">
        <v>1</v>
      </c>
      <c r="B63" t="s">
        <v>18</v>
      </c>
      <c r="C63" t="s">
        <v>5</v>
      </c>
      <c r="D63" s="1" t="s">
        <v>8</v>
      </c>
      <c r="E63">
        <v>2022</v>
      </c>
      <c r="F63" t="s">
        <v>27</v>
      </c>
      <c r="G63" t="s">
        <v>16</v>
      </c>
      <c r="H63" t="s">
        <v>21</v>
      </c>
      <c r="I63" t="str">
        <f t="shared" si="0"/>
        <v>mco_MET_18-64_2022_ALL_PMSI</v>
      </c>
      <c r="J63" t="s">
        <v>26</v>
      </c>
    </row>
    <row r="64" spans="1:10" x14ac:dyDescent="0.35">
      <c r="A64" t="s">
        <v>1</v>
      </c>
      <c r="B64" t="s">
        <v>18</v>
      </c>
      <c r="C64" t="s">
        <v>5</v>
      </c>
      <c r="D64" s="1" t="s">
        <v>8</v>
      </c>
      <c r="E64">
        <v>2023</v>
      </c>
      <c r="F64" t="s">
        <v>27</v>
      </c>
      <c r="G64" t="s">
        <v>15</v>
      </c>
      <c r="H64" t="s">
        <v>21</v>
      </c>
      <c r="I64" t="str">
        <f t="shared" si="0"/>
        <v>mco_MET_18-64_2023_ALL_DEP</v>
      </c>
      <c r="J64" t="s">
        <v>26</v>
      </c>
    </row>
    <row r="65" spans="1:10" x14ac:dyDescent="0.35">
      <c r="A65" t="s">
        <v>1</v>
      </c>
      <c r="B65" t="s">
        <v>18</v>
      </c>
      <c r="C65" t="s">
        <v>5</v>
      </c>
      <c r="D65" s="1" t="s">
        <v>8</v>
      </c>
      <c r="E65">
        <v>2023</v>
      </c>
      <c r="F65" t="s">
        <v>27</v>
      </c>
      <c r="G65" t="s">
        <v>16</v>
      </c>
      <c r="H65" t="s">
        <v>21</v>
      </c>
      <c r="I65" t="str">
        <f t="shared" si="0"/>
        <v>mco_MET_18-64_2023_ALL_PMSI</v>
      </c>
      <c r="J65" t="s">
        <v>26</v>
      </c>
    </row>
    <row r="66" spans="1:10" x14ac:dyDescent="0.35">
      <c r="A66" t="s">
        <v>1</v>
      </c>
      <c r="B66" t="s">
        <v>18</v>
      </c>
      <c r="C66" t="s">
        <v>5</v>
      </c>
      <c r="D66" s="1" t="s">
        <v>8</v>
      </c>
      <c r="E66">
        <v>2024</v>
      </c>
      <c r="F66" t="s">
        <v>27</v>
      </c>
      <c r="G66" t="s">
        <v>15</v>
      </c>
      <c r="H66" t="s">
        <v>21</v>
      </c>
      <c r="I66" t="str">
        <f t="shared" ref="I66:I129" si="1">"mco_"&amp;B66&amp;"_"&amp;D66&amp;"_"&amp;E66&amp;"_"&amp;F66&amp;"_"&amp;G66</f>
        <v>mco_MET_18-64_2024_ALL_DEP</v>
      </c>
      <c r="J66" t="s">
        <v>26</v>
      </c>
    </row>
    <row r="67" spans="1:10" x14ac:dyDescent="0.35">
      <c r="A67" t="s">
        <v>1</v>
      </c>
      <c r="B67" t="s">
        <v>18</v>
      </c>
      <c r="C67" t="s">
        <v>5</v>
      </c>
      <c r="D67" s="1" t="s">
        <v>8</v>
      </c>
      <c r="E67">
        <v>2024</v>
      </c>
      <c r="F67" t="s">
        <v>27</v>
      </c>
      <c r="G67" t="s">
        <v>16</v>
      </c>
      <c r="H67" t="s">
        <v>21</v>
      </c>
      <c r="I67" t="str">
        <f t="shared" si="1"/>
        <v>mco_MET_18-64_2024_ALL_PMSI</v>
      </c>
      <c r="J67" t="s">
        <v>26</v>
      </c>
    </row>
    <row r="68" spans="1:10" x14ac:dyDescent="0.35">
      <c r="A68" t="s">
        <v>1</v>
      </c>
      <c r="B68" t="s">
        <v>18</v>
      </c>
      <c r="C68" t="s">
        <v>5</v>
      </c>
      <c r="D68" s="1" t="s">
        <v>8</v>
      </c>
      <c r="E68">
        <v>2025</v>
      </c>
      <c r="F68" t="s">
        <v>27</v>
      </c>
      <c r="G68" t="s">
        <v>15</v>
      </c>
      <c r="H68" t="s">
        <v>21</v>
      </c>
      <c r="I68" t="str">
        <f t="shared" si="1"/>
        <v>mco_MET_18-64_2025_ALL_DEP</v>
      </c>
      <c r="J68" t="s">
        <v>26</v>
      </c>
    </row>
    <row r="69" spans="1:10" x14ac:dyDescent="0.35">
      <c r="A69" t="s">
        <v>1</v>
      </c>
      <c r="B69" t="s">
        <v>18</v>
      </c>
      <c r="C69" t="s">
        <v>5</v>
      </c>
      <c r="D69" s="1" t="s">
        <v>8</v>
      </c>
      <c r="E69">
        <v>2025</v>
      </c>
      <c r="F69" t="s">
        <v>27</v>
      </c>
      <c r="G69" t="s">
        <v>16</v>
      </c>
      <c r="H69" t="s">
        <v>21</v>
      </c>
      <c r="I69" t="str">
        <f t="shared" si="1"/>
        <v>mco_MET_18-64_2025_ALL_PMSI</v>
      </c>
      <c r="J69" t="s">
        <v>26</v>
      </c>
    </row>
    <row r="70" spans="1:10" x14ac:dyDescent="0.35">
      <c r="A70" t="s">
        <v>1</v>
      </c>
      <c r="B70" t="s">
        <v>18</v>
      </c>
      <c r="C70" t="s">
        <v>5</v>
      </c>
      <c r="D70" s="1" t="s">
        <v>9</v>
      </c>
      <c r="E70">
        <v>2016</v>
      </c>
      <c r="F70" t="s">
        <v>27</v>
      </c>
      <c r="G70" t="s">
        <v>15</v>
      </c>
      <c r="H70" t="s">
        <v>21</v>
      </c>
      <c r="I70" t="str">
        <f t="shared" si="1"/>
        <v>mco_MET_65-79_2016_ALL_DEP</v>
      </c>
      <c r="J70" t="s">
        <v>26</v>
      </c>
    </row>
    <row r="71" spans="1:10" x14ac:dyDescent="0.35">
      <c r="A71" t="s">
        <v>1</v>
      </c>
      <c r="B71" t="s">
        <v>18</v>
      </c>
      <c r="C71" t="s">
        <v>5</v>
      </c>
      <c r="D71" s="1" t="s">
        <v>9</v>
      </c>
      <c r="E71">
        <v>2017</v>
      </c>
      <c r="F71" t="s">
        <v>27</v>
      </c>
      <c r="G71" t="s">
        <v>15</v>
      </c>
      <c r="H71" t="s">
        <v>21</v>
      </c>
      <c r="I71" t="str">
        <f t="shared" si="1"/>
        <v>mco_MET_65-79_2017_ALL_DEP</v>
      </c>
      <c r="J71" t="s">
        <v>26</v>
      </c>
    </row>
    <row r="72" spans="1:10" x14ac:dyDescent="0.35">
      <c r="A72" t="s">
        <v>1</v>
      </c>
      <c r="B72" t="s">
        <v>18</v>
      </c>
      <c r="C72" t="s">
        <v>5</v>
      </c>
      <c r="D72" s="1" t="s">
        <v>9</v>
      </c>
      <c r="E72">
        <v>2018</v>
      </c>
      <c r="F72" t="s">
        <v>27</v>
      </c>
      <c r="G72" t="s">
        <v>15</v>
      </c>
      <c r="H72" t="s">
        <v>21</v>
      </c>
      <c r="I72" t="str">
        <f t="shared" si="1"/>
        <v>mco_MET_65-79_2018_ALL_DEP</v>
      </c>
      <c r="J72" t="s">
        <v>26</v>
      </c>
    </row>
    <row r="73" spans="1:10" x14ac:dyDescent="0.35">
      <c r="A73" t="s">
        <v>1</v>
      </c>
      <c r="B73" t="s">
        <v>18</v>
      </c>
      <c r="C73" t="s">
        <v>5</v>
      </c>
      <c r="D73" s="1" t="s">
        <v>9</v>
      </c>
      <c r="E73">
        <v>2019</v>
      </c>
      <c r="F73" t="s">
        <v>27</v>
      </c>
      <c r="G73" t="s">
        <v>15</v>
      </c>
      <c r="H73" t="s">
        <v>21</v>
      </c>
      <c r="I73" t="str">
        <f t="shared" si="1"/>
        <v>mco_MET_65-79_2019_ALL_DEP</v>
      </c>
      <c r="J73" t="s">
        <v>26</v>
      </c>
    </row>
    <row r="74" spans="1:10" x14ac:dyDescent="0.35">
      <c r="A74" t="s">
        <v>1</v>
      </c>
      <c r="B74" t="s">
        <v>18</v>
      </c>
      <c r="C74" t="s">
        <v>5</v>
      </c>
      <c r="D74" s="1" t="s">
        <v>9</v>
      </c>
      <c r="E74">
        <v>2019</v>
      </c>
      <c r="F74" t="s">
        <v>27</v>
      </c>
      <c r="G74" t="s">
        <v>16</v>
      </c>
      <c r="H74" t="s">
        <v>21</v>
      </c>
      <c r="I74" t="str">
        <f t="shared" si="1"/>
        <v>mco_MET_65-79_2019_ALL_PMSI</v>
      </c>
      <c r="J74" t="s">
        <v>26</v>
      </c>
    </row>
    <row r="75" spans="1:10" x14ac:dyDescent="0.35">
      <c r="A75" t="s">
        <v>1</v>
      </c>
      <c r="B75" t="s">
        <v>18</v>
      </c>
      <c r="C75" t="s">
        <v>5</v>
      </c>
      <c r="D75" s="1" t="s">
        <v>9</v>
      </c>
      <c r="E75">
        <v>2020</v>
      </c>
      <c r="F75" t="s">
        <v>27</v>
      </c>
      <c r="G75" t="s">
        <v>15</v>
      </c>
      <c r="H75" t="s">
        <v>21</v>
      </c>
      <c r="I75" t="str">
        <f t="shared" si="1"/>
        <v>mco_MET_65-79_2020_ALL_DEP</v>
      </c>
      <c r="J75" t="s">
        <v>26</v>
      </c>
    </row>
    <row r="76" spans="1:10" x14ac:dyDescent="0.35">
      <c r="A76" t="s">
        <v>1</v>
      </c>
      <c r="B76" t="s">
        <v>18</v>
      </c>
      <c r="C76" t="s">
        <v>5</v>
      </c>
      <c r="D76" s="1" t="s">
        <v>9</v>
      </c>
      <c r="E76">
        <v>2020</v>
      </c>
      <c r="F76" t="s">
        <v>27</v>
      </c>
      <c r="G76" t="s">
        <v>16</v>
      </c>
      <c r="H76" t="s">
        <v>21</v>
      </c>
      <c r="I76" t="str">
        <f t="shared" si="1"/>
        <v>mco_MET_65-79_2020_ALL_PMSI</v>
      </c>
      <c r="J76" t="s">
        <v>26</v>
      </c>
    </row>
    <row r="77" spans="1:10" x14ac:dyDescent="0.35">
      <c r="A77" t="s">
        <v>1</v>
      </c>
      <c r="B77" t="s">
        <v>18</v>
      </c>
      <c r="C77" t="s">
        <v>5</v>
      </c>
      <c r="D77" s="1" t="s">
        <v>9</v>
      </c>
      <c r="E77">
        <v>2021</v>
      </c>
      <c r="F77" t="s">
        <v>27</v>
      </c>
      <c r="G77" t="s">
        <v>15</v>
      </c>
      <c r="H77" t="s">
        <v>21</v>
      </c>
      <c r="I77" t="str">
        <f t="shared" si="1"/>
        <v>mco_MET_65-79_2021_ALL_DEP</v>
      </c>
      <c r="J77" t="s">
        <v>26</v>
      </c>
    </row>
    <row r="78" spans="1:10" x14ac:dyDescent="0.35">
      <c r="A78" t="s">
        <v>1</v>
      </c>
      <c r="B78" t="s">
        <v>18</v>
      </c>
      <c r="C78" t="s">
        <v>5</v>
      </c>
      <c r="D78" s="1" t="s">
        <v>9</v>
      </c>
      <c r="E78">
        <v>2021</v>
      </c>
      <c r="F78" t="s">
        <v>27</v>
      </c>
      <c r="G78" t="s">
        <v>16</v>
      </c>
      <c r="H78" t="s">
        <v>21</v>
      </c>
      <c r="I78" t="str">
        <f t="shared" si="1"/>
        <v>mco_MET_65-79_2021_ALL_PMSI</v>
      </c>
      <c r="J78" t="s">
        <v>26</v>
      </c>
    </row>
    <row r="79" spans="1:10" x14ac:dyDescent="0.35">
      <c r="A79" t="s">
        <v>1</v>
      </c>
      <c r="B79" t="s">
        <v>18</v>
      </c>
      <c r="C79" t="s">
        <v>5</v>
      </c>
      <c r="D79" s="1" t="s">
        <v>9</v>
      </c>
      <c r="E79">
        <v>2022</v>
      </c>
      <c r="F79" t="s">
        <v>27</v>
      </c>
      <c r="G79" t="s">
        <v>15</v>
      </c>
      <c r="H79" t="s">
        <v>21</v>
      </c>
      <c r="I79" t="str">
        <f t="shared" si="1"/>
        <v>mco_MET_65-79_2022_ALL_DEP</v>
      </c>
      <c r="J79" t="s">
        <v>26</v>
      </c>
    </row>
    <row r="80" spans="1:10" x14ac:dyDescent="0.35">
      <c r="A80" t="s">
        <v>1</v>
      </c>
      <c r="B80" t="s">
        <v>18</v>
      </c>
      <c r="C80" t="s">
        <v>5</v>
      </c>
      <c r="D80" s="1" t="s">
        <v>9</v>
      </c>
      <c r="E80">
        <v>2022</v>
      </c>
      <c r="F80" t="s">
        <v>27</v>
      </c>
      <c r="G80" t="s">
        <v>16</v>
      </c>
      <c r="H80" t="s">
        <v>21</v>
      </c>
      <c r="I80" t="str">
        <f t="shared" si="1"/>
        <v>mco_MET_65-79_2022_ALL_PMSI</v>
      </c>
      <c r="J80" t="s">
        <v>26</v>
      </c>
    </row>
    <row r="81" spans="1:10" x14ac:dyDescent="0.35">
      <c r="A81" t="s">
        <v>1</v>
      </c>
      <c r="B81" t="s">
        <v>18</v>
      </c>
      <c r="C81" t="s">
        <v>5</v>
      </c>
      <c r="D81" s="1" t="s">
        <v>9</v>
      </c>
      <c r="E81">
        <v>2023</v>
      </c>
      <c r="F81" t="s">
        <v>27</v>
      </c>
      <c r="G81" t="s">
        <v>15</v>
      </c>
      <c r="H81" t="s">
        <v>21</v>
      </c>
      <c r="I81" t="str">
        <f t="shared" si="1"/>
        <v>mco_MET_65-79_2023_ALL_DEP</v>
      </c>
      <c r="J81" t="s">
        <v>26</v>
      </c>
    </row>
    <row r="82" spans="1:10" x14ac:dyDescent="0.35">
      <c r="A82" t="s">
        <v>1</v>
      </c>
      <c r="B82" t="s">
        <v>18</v>
      </c>
      <c r="C82" t="s">
        <v>5</v>
      </c>
      <c r="D82" s="1" t="s">
        <v>9</v>
      </c>
      <c r="E82">
        <v>2023</v>
      </c>
      <c r="F82" t="s">
        <v>27</v>
      </c>
      <c r="G82" t="s">
        <v>16</v>
      </c>
      <c r="H82" t="s">
        <v>21</v>
      </c>
      <c r="I82" t="str">
        <f t="shared" si="1"/>
        <v>mco_MET_65-79_2023_ALL_PMSI</v>
      </c>
      <c r="J82" t="s">
        <v>26</v>
      </c>
    </row>
    <row r="83" spans="1:10" x14ac:dyDescent="0.35">
      <c r="A83" t="s">
        <v>1</v>
      </c>
      <c r="B83" t="s">
        <v>18</v>
      </c>
      <c r="C83" t="s">
        <v>5</v>
      </c>
      <c r="D83" s="1" t="s">
        <v>9</v>
      </c>
      <c r="E83">
        <v>2024</v>
      </c>
      <c r="F83" t="s">
        <v>27</v>
      </c>
      <c r="G83" t="s">
        <v>15</v>
      </c>
      <c r="H83" t="s">
        <v>21</v>
      </c>
      <c r="I83" t="str">
        <f t="shared" si="1"/>
        <v>mco_MET_65-79_2024_ALL_DEP</v>
      </c>
      <c r="J83" t="s">
        <v>26</v>
      </c>
    </row>
    <row r="84" spans="1:10" x14ac:dyDescent="0.35">
      <c r="A84" t="s">
        <v>1</v>
      </c>
      <c r="B84" t="s">
        <v>18</v>
      </c>
      <c r="C84" t="s">
        <v>5</v>
      </c>
      <c r="D84" s="1" t="s">
        <v>9</v>
      </c>
      <c r="E84">
        <v>2024</v>
      </c>
      <c r="F84" t="s">
        <v>27</v>
      </c>
      <c r="G84" t="s">
        <v>16</v>
      </c>
      <c r="H84" t="s">
        <v>21</v>
      </c>
      <c r="I84" t="str">
        <f t="shared" si="1"/>
        <v>mco_MET_65-79_2024_ALL_PMSI</v>
      </c>
      <c r="J84" t="s">
        <v>26</v>
      </c>
    </row>
    <row r="85" spans="1:10" x14ac:dyDescent="0.35">
      <c r="A85" t="s">
        <v>1</v>
      </c>
      <c r="B85" t="s">
        <v>18</v>
      </c>
      <c r="C85" t="s">
        <v>5</v>
      </c>
      <c r="D85" s="1" t="s">
        <v>9</v>
      </c>
      <c r="E85">
        <v>2025</v>
      </c>
      <c r="F85" t="s">
        <v>27</v>
      </c>
      <c r="G85" t="s">
        <v>15</v>
      </c>
      <c r="H85" t="s">
        <v>21</v>
      </c>
      <c r="I85" t="str">
        <f t="shared" si="1"/>
        <v>mco_MET_65-79_2025_ALL_DEP</v>
      </c>
      <c r="J85" t="s">
        <v>26</v>
      </c>
    </row>
    <row r="86" spans="1:10" x14ac:dyDescent="0.35">
      <c r="A86" t="s">
        <v>1</v>
      </c>
      <c r="B86" t="s">
        <v>18</v>
      </c>
      <c r="C86" t="s">
        <v>5</v>
      </c>
      <c r="D86" s="1" t="s">
        <v>9</v>
      </c>
      <c r="E86">
        <v>2025</v>
      </c>
      <c r="F86" t="s">
        <v>27</v>
      </c>
      <c r="G86" t="s">
        <v>16</v>
      </c>
      <c r="H86" t="s">
        <v>21</v>
      </c>
      <c r="I86" t="str">
        <f t="shared" si="1"/>
        <v>mco_MET_65-79_2025_ALL_PMSI</v>
      </c>
      <c r="J86" t="s">
        <v>26</v>
      </c>
    </row>
    <row r="87" spans="1:10" x14ac:dyDescent="0.35">
      <c r="A87" t="s">
        <v>1</v>
      </c>
      <c r="B87" t="s">
        <v>18</v>
      </c>
      <c r="C87" t="s">
        <v>5</v>
      </c>
      <c r="D87" s="1" t="s">
        <v>10</v>
      </c>
      <c r="E87">
        <v>2016</v>
      </c>
      <c r="F87" t="s">
        <v>27</v>
      </c>
      <c r="G87" t="s">
        <v>15</v>
      </c>
      <c r="H87" t="s">
        <v>21</v>
      </c>
      <c r="I87" t="str">
        <f t="shared" si="1"/>
        <v>mco_MET_80+_2016_ALL_DEP</v>
      </c>
      <c r="J87" t="s">
        <v>26</v>
      </c>
    </row>
    <row r="88" spans="1:10" x14ac:dyDescent="0.35">
      <c r="A88" t="s">
        <v>1</v>
      </c>
      <c r="B88" t="s">
        <v>18</v>
      </c>
      <c r="C88" t="s">
        <v>5</v>
      </c>
      <c r="D88" s="1" t="s">
        <v>10</v>
      </c>
      <c r="E88">
        <v>2017</v>
      </c>
      <c r="F88" t="s">
        <v>27</v>
      </c>
      <c r="G88" t="s">
        <v>15</v>
      </c>
      <c r="H88" t="s">
        <v>21</v>
      </c>
      <c r="I88" t="str">
        <f t="shared" si="1"/>
        <v>mco_MET_80+_2017_ALL_DEP</v>
      </c>
      <c r="J88" t="s">
        <v>26</v>
      </c>
    </row>
    <row r="89" spans="1:10" x14ac:dyDescent="0.35">
      <c r="A89" t="s">
        <v>1</v>
      </c>
      <c r="B89" t="s">
        <v>18</v>
      </c>
      <c r="C89" t="s">
        <v>5</v>
      </c>
      <c r="D89" s="1" t="s">
        <v>10</v>
      </c>
      <c r="E89">
        <v>2018</v>
      </c>
      <c r="F89" t="s">
        <v>27</v>
      </c>
      <c r="G89" t="s">
        <v>15</v>
      </c>
      <c r="H89" t="s">
        <v>21</v>
      </c>
      <c r="I89" t="str">
        <f t="shared" si="1"/>
        <v>mco_MET_80+_2018_ALL_DEP</v>
      </c>
      <c r="J89" t="s">
        <v>26</v>
      </c>
    </row>
    <row r="90" spans="1:10" x14ac:dyDescent="0.35">
      <c r="A90" t="s">
        <v>1</v>
      </c>
      <c r="B90" t="s">
        <v>18</v>
      </c>
      <c r="C90" t="s">
        <v>5</v>
      </c>
      <c r="D90" s="1" t="s">
        <v>10</v>
      </c>
      <c r="E90">
        <v>2019</v>
      </c>
      <c r="F90" t="s">
        <v>27</v>
      </c>
      <c r="G90" t="s">
        <v>15</v>
      </c>
      <c r="H90" t="s">
        <v>21</v>
      </c>
      <c r="I90" t="str">
        <f t="shared" si="1"/>
        <v>mco_MET_80+_2019_ALL_DEP</v>
      </c>
      <c r="J90" t="s">
        <v>26</v>
      </c>
    </row>
    <row r="91" spans="1:10" x14ac:dyDescent="0.35">
      <c r="A91" t="s">
        <v>1</v>
      </c>
      <c r="B91" t="s">
        <v>18</v>
      </c>
      <c r="C91" t="s">
        <v>5</v>
      </c>
      <c r="D91" s="1" t="s">
        <v>10</v>
      </c>
      <c r="E91">
        <v>2019</v>
      </c>
      <c r="F91" t="s">
        <v>27</v>
      </c>
      <c r="G91" t="s">
        <v>16</v>
      </c>
      <c r="H91" t="s">
        <v>21</v>
      </c>
      <c r="I91" t="str">
        <f t="shared" si="1"/>
        <v>mco_MET_80+_2019_ALL_PMSI</v>
      </c>
      <c r="J91" t="s">
        <v>26</v>
      </c>
    </row>
    <row r="92" spans="1:10" x14ac:dyDescent="0.35">
      <c r="A92" t="s">
        <v>1</v>
      </c>
      <c r="B92" t="s">
        <v>18</v>
      </c>
      <c r="C92" t="s">
        <v>5</v>
      </c>
      <c r="D92" s="1" t="s">
        <v>10</v>
      </c>
      <c r="E92">
        <v>2020</v>
      </c>
      <c r="F92" t="s">
        <v>27</v>
      </c>
      <c r="G92" t="s">
        <v>15</v>
      </c>
      <c r="H92" t="s">
        <v>21</v>
      </c>
      <c r="I92" t="str">
        <f t="shared" si="1"/>
        <v>mco_MET_80+_2020_ALL_DEP</v>
      </c>
      <c r="J92" t="s">
        <v>26</v>
      </c>
    </row>
    <row r="93" spans="1:10" x14ac:dyDescent="0.35">
      <c r="A93" t="s">
        <v>1</v>
      </c>
      <c r="B93" t="s">
        <v>18</v>
      </c>
      <c r="C93" t="s">
        <v>5</v>
      </c>
      <c r="D93" s="1" t="s">
        <v>10</v>
      </c>
      <c r="E93">
        <v>2020</v>
      </c>
      <c r="F93" t="s">
        <v>27</v>
      </c>
      <c r="G93" t="s">
        <v>16</v>
      </c>
      <c r="H93" t="s">
        <v>21</v>
      </c>
      <c r="I93" t="str">
        <f t="shared" si="1"/>
        <v>mco_MET_80+_2020_ALL_PMSI</v>
      </c>
      <c r="J93" t="s">
        <v>26</v>
      </c>
    </row>
    <row r="94" spans="1:10" x14ac:dyDescent="0.35">
      <c r="A94" t="s">
        <v>1</v>
      </c>
      <c r="B94" t="s">
        <v>18</v>
      </c>
      <c r="C94" t="s">
        <v>5</v>
      </c>
      <c r="D94" s="1" t="s">
        <v>10</v>
      </c>
      <c r="E94">
        <v>2021</v>
      </c>
      <c r="F94" t="s">
        <v>27</v>
      </c>
      <c r="G94" t="s">
        <v>15</v>
      </c>
      <c r="H94" t="s">
        <v>21</v>
      </c>
      <c r="I94" t="str">
        <f t="shared" si="1"/>
        <v>mco_MET_80+_2021_ALL_DEP</v>
      </c>
      <c r="J94" t="s">
        <v>26</v>
      </c>
    </row>
    <row r="95" spans="1:10" x14ac:dyDescent="0.35">
      <c r="A95" t="s">
        <v>1</v>
      </c>
      <c r="B95" t="s">
        <v>18</v>
      </c>
      <c r="C95" t="s">
        <v>5</v>
      </c>
      <c r="D95" s="1" t="s">
        <v>10</v>
      </c>
      <c r="E95">
        <v>2021</v>
      </c>
      <c r="F95" t="s">
        <v>27</v>
      </c>
      <c r="G95" t="s">
        <v>16</v>
      </c>
      <c r="H95" t="s">
        <v>21</v>
      </c>
      <c r="I95" t="str">
        <f t="shared" si="1"/>
        <v>mco_MET_80+_2021_ALL_PMSI</v>
      </c>
      <c r="J95" t="s">
        <v>26</v>
      </c>
    </row>
    <row r="96" spans="1:10" x14ac:dyDescent="0.35">
      <c r="A96" t="s">
        <v>1</v>
      </c>
      <c r="B96" t="s">
        <v>18</v>
      </c>
      <c r="C96" t="s">
        <v>5</v>
      </c>
      <c r="D96" s="1" t="s">
        <v>10</v>
      </c>
      <c r="E96">
        <v>2022</v>
      </c>
      <c r="F96" t="s">
        <v>27</v>
      </c>
      <c r="G96" t="s">
        <v>15</v>
      </c>
      <c r="H96" t="s">
        <v>21</v>
      </c>
      <c r="I96" t="str">
        <f t="shared" si="1"/>
        <v>mco_MET_80+_2022_ALL_DEP</v>
      </c>
      <c r="J96" t="s">
        <v>26</v>
      </c>
    </row>
    <row r="97" spans="1:10" x14ac:dyDescent="0.35">
      <c r="A97" t="s">
        <v>1</v>
      </c>
      <c r="B97" t="s">
        <v>18</v>
      </c>
      <c r="C97" t="s">
        <v>5</v>
      </c>
      <c r="D97" s="1" t="s">
        <v>10</v>
      </c>
      <c r="E97">
        <v>2022</v>
      </c>
      <c r="F97" t="s">
        <v>27</v>
      </c>
      <c r="G97" t="s">
        <v>16</v>
      </c>
      <c r="H97" t="s">
        <v>21</v>
      </c>
      <c r="I97" t="str">
        <f t="shared" si="1"/>
        <v>mco_MET_80+_2022_ALL_PMSI</v>
      </c>
      <c r="J97" t="s">
        <v>26</v>
      </c>
    </row>
    <row r="98" spans="1:10" x14ac:dyDescent="0.35">
      <c r="A98" t="s">
        <v>1</v>
      </c>
      <c r="B98" t="s">
        <v>18</v>
      </c>
      <c r="C98" t="s">
        <v>5</v>
      </c>
      <c r="D98" s="1" t="s">
        <v>10</v>
      </c>
      <c r="E98">
        <v>2023</v>
      </c>
      <c r="F98" t="s">
        <v>27</v>
      </c>
      <c r="G98" t="s">
        <v>15</v>
      </c>
      <c r="H98" t="s">
        <v>21</v>
      </c>
      <c r="I98" t="str">
        <f t="shared" si="1"/>
        <v>mco_MET_80+_2023_ALL_DEP</v>
      </c>
      <c r="J98" t="s">
        <v>26</v>
      </c>
    </row>
    <row r="99" spans="1:10" x14ac:dyDescent="0.35">
      <c r="A99" t="s">
        <v>1</v>
      </c>
      <c r="B99" t="s">
        <v>18</v>
      </c>
      <c r="C99" t="s">
        <v>5</v>
      </c>
      <c r="D99" s="1" t="s">
        <v>10</v>
      </c>
      <c r="E99">
        <v>2023</v>
      </c>
      <c r="F99" t="s">
        <v>27</v>
      </c>
      <c r="G99" t="s">
        <v>16</v>
      </c>
      <c r="H99" t="s">
        <v>21</v>
      </c>
      <c r="I99" t="str">
        <f t="shared" si="1"/>
        <v>mco_MET_80+_2023_ALL_PMSI</v>
      </c>
      <c r="J99" t="s">
        <v>26</v>
      </c>
    </row>
    <row r="100" spans="1:10" x14ac:dyDescent="0.35">
      <c r="A100" t="s">
        <v>1</v>
      </c>
      <c r="B100" t="s">
        <v>18</v>
      </c>
      <c r="C100" t="s">
        <v>5</v>
      </c>
      <c r="D100" s="1" t="s">
        <v>10</v>
      </c>
      <c r="E100">
        <v>2024</v>
      </c>
      <c r="F100" t="s">
        <v>27</v>
      </c>
      <c r="G100" t="s">
        <v>15</v>
      </c>
      <c r="H100" t="s">
        <v>21</v>
      </c>
      <c r="I100" t="str">
        <f t="shared" si="1"/>
        <v>mco_MET_80+_2024_ALL_DEP</v>
      </c>
      <c r="J100" t="s">
        <v>26</v>
      </c>
    </row>
    <row r="101" spans="1:10" x14ac:dyDescent="0.35">
      <c r="A101" t="s">
        <v>1</v>
      </c>
      <c r="B101" t="s">
        <v>18</v>
      </c>
      <c r="C101" t="s">
        <v>5</v>
      </c>
      <c r="D101" s="1" t="s">
        <v>10</v>
      </c>
      <c r="E101">
        <v>2024</v>
      </c>
      <c r="F101" t="s">
        <v>27</v>
      </c>
      <c r="G101" t="s">
        <v>16</v>
      </c>
      <c r="H101" t="s">
        <v>21</v>
      </c>
      <c r="I101" t="str">
        <f t="shared" si="1"/>
        <v>mco_MET_80+_2024_ALL_PMSI</v>
      </c>
      <c r="J101" t="s">
        <v>26</v>
      </c>
    </row>
    <row r="102" spans="1:10" x14ac:dyDescent="0.35">
      <c r="A102" t="s">
        <v>1</v>
      </c>
      <c r="B102" t="s">
        <v>18</v>
      </c>
      <c r="C102" t="s">
        <v>5</v>
      </c>
      <c r="D102" s="1" t="s">
        <v>10</v>
      </c>
      <c r="E102">
        <v>2025</v>
      </c>
      <c r="F102" t="s">
        <v>27</v>
      </c>
      <c r="G102" t="s">
        <v>15</v>
      </c>
      <c r="H102" t="s">
        <v>21</v>
      </c>
      <c r="I102" t="str">
        <f t="shared" si="1"/>
        <v>mco_MET_80+_2025_ALL_DEP</v>
      </c>
      <c r="J102" t="s">
        <v>26</v>
      </c>
    </row>
    <row r="103" spans="1:10" x14ac:dyDescent="0.35">
      <c r="A103" t="s">
        <v>1</v>
      </c>
      <c r="B103" t="s">
        <v>18</v>
      </c>
      <c r="C103" t="s">
        <v>5</v>
      </c>
      <c r="D103" s="1" t="s">
        <v>10</v>
      </c>
      <c r="E103">
        <v>2025</v>
      </c>
      <c r="F103" t="s">
        <v>27</v>
      </c>
      <c r="G103" t="s">
        <v>16</v>
      </c>
      <c r="H103" t="s">
        <v>21</v>
      </c>
      <c r="I103" t="str">
        <f t="shared" si="1"/>
        <v>mco_MET_80+_2025_ALL_PMSI</v>
      </c>
      <c r="J103" t="s">
        <v>26</v>
      </c>
    </row>
    <row r="104" spans="1:10" x14ac:dyDescent="0.35">
      <c r="A104" t="s">
        <v>1</v>
      </c>
      <c r="B104" t="s">
        <v>18</v>
      </c>
      <c r="C104" t="s">
        <v>49</v>
      </c>
      <c r="D104" t="s">
        <v>3</v>
      </c>
      <c r="E104">
        <v>2016</v>
      </c>
      <c r="F104" t="s">
        <v>50</v>
      </c>
      <c r="G104" t="s">
        <v>15</v>
      </c>
      <c r="H104" t="s">
        <v>21</v>
      </c>
      <c r="I104" t="str">
        <f t="shared" si="1"/>
        <v>mco_MET_0-1_2016_FINESSHCL_DEP</v>
      </c>
      <c r="J104" t="s">
        <v>26</v>
      </c>
    </row>
    <row r="105" spans="1:10" x14ac:dyDescent="0.35">
      <c r="A105" t="s">
        <v>1</v>
      </c>
      <c r="B105" t="s">
        <v>18</v>
      </c>
      <c r="C105" t="s">
        <v>49</v>
      </c>
      <c r="D105" t="s">
        <v>3</v>
      </c>
      <c r="E105">
        <v>2017</v>
      </c>
      <c r="F105" t="s">
        <v>50</v>
      </c>
      <c r="G105" t="s">
        <v>15</v>
      </c>
      <c r="H105" t="s">
        <v>21</v>
      </c>
      <c r="I105" t="str">
        <f t="shared" si="1"/>
        <v>mco_MET_0-1_2017_FINESSHCL_DEP</v>
      </c>
      <c r="J105" t="s">
        <v>26</v>
      </c>
    </row>
    <row r="106" spans="1:10" x14ac:dyDescent="0.35">
      <c r="A106" t="s">
        <v>1</v>
      </c>
      <c r="B106" t="s">
        <v>18</v>
      </c>
      <c r="C106" t="s">
        <v>49</v>
      </c>
      <c r="D106" t="s">
        <v>3</v>
      </c>
      <c r="E106">
        <v>2018</v>
      </c>
      <c r="F106" t="s">
        <v>50</v>
      </c>
      <c r="G106" t="s">
        <v>15</v>
      </c>
      <c r="H106" t="s">
        <v>21</v>
      </c>
      <c r="I106" t="str">
        <f t="shared" si="1"/>
        <v>mco_MET_0-1_2018_FINESSHCL_DEP</v>
      </c>
      <c r="J106" t="s">
        <v>26</v>
      </c>
    </row>
    <row r="107" spans="1:10" x14ac:dyDescent="0.35">
      <c r="A107" t="s">
        <v>1</v>
      </c>
      <c r="B107" t="s">
        <v>18</v>
      </c>
      <c r="C107" t="s">
        <v>49</v>
      </c>
      <c r="D107" t="s">
        <v>3</v>
      </c>
      <c r="E107">
        <v>2019</v>
      </c>
      <c r="F107" t="s">
        <v>50</v>
      </c>
      <c r="G107" t="s">
        <v>15</v>
      </c>
      <c r="H107" t="s">
        <v>21</v>
      </c>
      <c r="I107" t="str">
        <f t="shared" si="1"/>
        <v>mco_MET_0-1_2019_FINESSHCL_DEP</v>
      </c>
      <c r="J107" t="s">
        <v>26</v>
      </c>
    </row>
    <row r="108" spans="1:10" x14ac:dyDescent="0.35">
      <c r="A108" t="s">
        <v>1</v>
      </c>
      <c r="B108" t="s">
        <v>18</v>
      </c>
      <c r="C108" t="s">
        <v>49</v>
      </c>
      <c r="D108" t="s">
        <v>3</v>
      </c>
      <c r="E108">
        <v>2019</v>
      </c>
      <c r="F108" t="s">
        <v>50</v>
      </c>
      <c r="G108" t="s">
        <v>16</v>
      </c>
      <c r="H108" t="s">
        <v>21</v>
      </c>
      <c r="I108" t="str">
        <f t="shared" si="1"/>
        <v>mco_MET_0-1_2019_FINESSHCL_PMSI</v>
      </c>
      <c r="J108" t="s">
        <v>26</v>
      </c>
    </row>
    <row r="109" spans="1:10" x14ac:dyDescent="0.35">
      <c r="A109" t="s">
        <v>1</v>
      </c>
      <c r="B109" t="s">
        <v>18</v>
      </c>
      <c r="C109" t="s">
        <v>49</v>
      </c>
      <c r="D109" t="s">
        <v>3</v>
      </c>
      <c r="E109">
        <v>2020</v>
      </c>
      <c r="F109" t="s">
        <v>50</v>
      </c>
      <c r="G109" t="s">
        <v>15</v>
      </c>
      <c r="H109" t="s">
        <v>21</v>
      </c>
      <c r="I109" t="str">
        <f t="shared" si="1"/>
        <v>mco_MET_0-1_2020_FINESSHCL_DEP</v>
      </c>
      <c r="J109" t="s">
        <v>26</v>
      </c>
    </row>
    <row r="110" spans="1:10" x14ac:dyDescent="0.35">
      <c r="A110" t="s">
        <v>1</v>
      </c>
      <c r="B110" t="s">
        <v>18</v>
      </c>
      <c r="C110" t="s">
        <v>49</v>
      </c>
      <c r="D110" t="s">
        <v>3</v>
      </c>
      <c r="E110">
        <v>2020</v>
      </c>
      <c r="F110" t="s">
        <v>50</v>
      </c>
      <c r="G110" t="s">
        <v>16</v>
      </c>
      <c r="H110" t="s">
        <v>21</v>
      </c>
      <c r="I110" t="str">
        <f t="shared" si="1"/>
        <v>mco_MET_0-1_2020_FINESSHCL_PMSI</v>
      </c>
      <c r="J110" t="s">
        <v>26</v>
      </c>
    </row>
    <row r="111" spans="1:10" x14ac:dyDescent="0.35">
      <c r="A111" t="s">
        <v>1</v>
      </c>
      <c r="B111" t="s">
        <v>18</v>
      </c>
      <c r="C111" t="s">
        <v>49</v>
      </c>
      <c r="D111" t="s">
        <v>3</v>
      </c>
      <c r="E111">
        <v>2021</v>
      </c>
      <c r="F111" t="s">
        <v>50</v>
      </c>
      <c r="G111" t="s">
        <v>15</v>
      </c>
      <c r="H111" t="s">
        <v>21</v>
      </c>
      <c r="I111" t="str">
        <f t="shared" si="1"/>
        <v>mco_MET_0-1_2021_FINESSHCL_DEP</v>
      </c>
      <c r="J111" t="s">
        <v>26</v>
      </c>
    </row>
    <row r="112" spans="1:10" x14ac:dyDescent="0.35">
      <c r="A112" t="s">
        <v>1</v>
      </c>
      <c r="B112" t="s">
        <v>18</v>
      </c>
      <c r="C112" t="s">
        <v>49</v>
      </c>
      <c r="D112" t="s">
        <v>3</v>
      </c>
      <c r="E112">
        <v>2021</v>
      </c>
      <c r="F112" t="s">
        <v>50</v>
      </c>
      <c r="G112" t="s">
        <v>16</v>
      </c>
      <c r="H112" t="s">
        <v>21</v>
      </c>
      <c r="I112" t="str">
        <f t="shared" si="1"/>
        <v>mco_MET_0-1_2021_FINESSHCL_PMSI</v>
      </c>
      <c r="J112" t="s">
        <v>26</v>
      </c>
    </row>
    <row r="113" spans="1:10" x14ac:dyDescent="0.35">
      <c r="A113" t="s">
        <v>1</v>
      </c>
      <c r="B113" t="s">
        <v>18</v>
      </c>
      <c r="C113" t="s">
        <v>49</v>
      </c>
      <c r="D113" t="s">
        <v>3</v>
      </c>
      <c r="E113">
        <v>2022</v>
      </c>
      <c r="F113" t="s">
        <v>50</v>
      </c>
      <c r="G113" t="s">
        <v>15</v>
      </c>
      <c r="H113" t="s">
        <v>21</v>
      </c>
      <c r="I113" t="str">
        <f t="shared" si="1"/>
        <v>mco_MET_0-1_2022_FINESSHCL_DEP</v>
      </c>
      <c r="J113" t="s">
        <v>26</v>
      </c>
    </row>
    <row r="114" spans="1:10" x14ac:dyDescent="0.35">
      <c r="A114" t="s">
        <v>1</v>
      </c>
      <c r="B114" t="s">
        <v>18</v>
      </c>
      <c r="C114" t="s">
        <v>49</v>
      </c>
      <c r="D114" t="s">
        <v>3</v>
      </c>
      <c r="E114">
        <v>2022</v>
      </c>
      <c r="F114" t="s">
        <v>50</v>
      </c>
      <c r="G114" t="s">
        <v>16</v>
      </c>
      <c r="H114" t="s">
        <v>21</v>
      </c>
      <c r="I114" t="str">
        <f t="shared" si="1"/>
        <v>mco_MET_0-1_2022_FINESSHCL_PMSI</v>
      </c>
      <c r="J114" t="s">
        <v>26</v>
      </c>
    </row>
    <row r="115" spans="1:10" x14ac:dyDescent="0.35">
      <c r="A115" t="s">
        <v>1</v>
      </c>
      <c r="B115" t="s">
        <v>18</v>
      </c>
      <c r="C115" t="s">
        <v>49</v>
      </c>
      <c r="D115" t="s">
        <v>3</v>
      </c>
      <c r="E115">
        <v>2023</v>
      </c>
      <c r="F115" t="s">
        <v>50</v>
      </c>
      <c r="G115" t="s">
        <v>15</v>
      </c>
      <c r="H115" t="s">
        <v>21</v>
      </c>
      <c r="I115" t="str">
        <f t="shared" si="1"/>
        <v>mco_MET_0-1_2023_FINESSHCL_DEP</v>
      </c>
      <c r="J115" t="s">
        <v>26</v>
      </c>
    </row>
    <row r="116" spans="1:10" x14ac:dyDescent="0.35">
      <c r="A116" t="s">
        <v>1</v>
      </c>
      <c r="B116" t="s">
        <v>18</v>
      </c>
      <c r="C116" t="s">
        <v>49</v>
      </c>
      <c r="D116" t="s">
        <v>3</v>
      </c>
      <c r="E116">
        <v>2023</v>
      </c>
      <c r="F116" t="s">
        <v>50</v>
      </c>
      <c r="G116" t="s">
        <v>16</v>
      </c>
      <c r="H116" t="s">
        <v>21</v>
      </c>
      <c r="I116" t="str">
        <f t="shared" si="1"/>
        <v>mco_MET_0-1_2023_FINESSHCL_PMSI</v>
      </c>
      <c r="J116" t="s">
        <v>26</v>
      </c>
    </row>
    <row r="117" spans="1:10" x14ac:dyDescent="0.35">
      <c r="A117" t="s">
        <v>1</v>
      </c>
      <c r="B117" t="s">
        <v>18</v>
      </c>
      <c r="C117" t="s">
        <v>49</v>
      </c>
      <c r="D117" t="s">
        <v>3</v>
      </c>
      <c r="E117">
        <v>2024</v>
      </c>
      <c r="F117" t="s">
        <v>50</v>
      </c>
      <c r="G117" t="s">
        <v>15</v>
      </c>
      <c r="H117" t="s">
        <v>21</v>
      </c>
      <c r="I117" t="str">
        <f t="shared" si="1"/>
        <v>mco_MET_0-1_2024_FINESSHCL_DEP</v>
      </c>
      <c r="J117" t="s">
        <v>26</v>
      </c>
    </row>
    <row r="118" spans="1:10" x14ac:dyDescent="0.35">
      <c r="A118" t="s">
        <v>1</v>
      </c>
      <c r="B118" t="s">
        <v>18</v>
      </c>
      <c r="C118" t="s">
        <v>49</v>
      </c>
      <c r="D118" t="s">
        <v>3</v>
      </c>
      <c r="E118">
        <v>2024</v>
      </c>
      <c r="F118" t="s">
        <v>50</v>
      </c>
      <c r="G118" t="s">
        <v>16</v>
      </c>
      <c r="H118" t="s">
        <v>21</v>
      </c>
      <c r="I118" t="str">
        <f t="shared" si="1"/>
        <v>mco_MET_0-1_2024_FINESSHCL_PMSI</v>
      </c>
      <c r="J118" t="s">
        <v>26</v>
      </c>
    </row>
    <row r="119" spans="1:10" x14ac:dyDescent="0.35">
      <c r="A119" t="s">
        <v>1</v>
      </c>
      <c r="B119" t="s">
        <v>18</v>
      </c>
      <c r="C119" t="s">
        <v>49</v>
      </c>
      <c r="D119" t="s">
        <v>3</v>
      </c>
      <c r="E119">
        <v>2025</v>
      </c>
      <c r="F119" t="s">
        <v>50</v>
      </c>
      <c r="G119" t="s">
        <v>15</v>
      </c>
      <c r="H119" t="s">
        <v>21</v>
      </c>
      <c r="I119" t="str">
        <f t="shared" si="1"/>
        <v>mco_MET_0-1_2025_FINESSHCL_DEP</v>
      </c>
      <c r="J119" t="s">
        <v>26</v>
      </c>
    </row>
    <row r="120" spans="1:10" x14ac:dyDescent="0.35">
      <c r="A120" t="s">
        <v>1</v>
      </c>
      <c r="B120" t="s">
        <v>18</v>
      </c>
      <c r="C120" t="s">
        <v>49</v>
      </c>
      <c r="D120" t="s">
        <v>3</v>
      </c>
      <c r="E120">
        <v>2025</v>
      </c>
      <c r="F120" t="s">
        <v>50</v>
      </c>
      <c r="G120" t="s">
        <v>16</v>
      </c>
      <c r="H120" t="s">
        <v>21</v>
      </c>
      <c r="I120" t="str">
        <f t="shared" si="1"/>
        <v>mco_MET_0-1_2025_FINESSHCL_PMSI</v>
      </c>
      <c r="J120" t="s">
        <v>26</v>
      </c>
    </row>
    <row r="121" spans="1:10" x14ac:dyDescent="0.35">
      <c r="A121" t="s">
        <v>1</v>
      </c>
      <c r="B121" t="s">
        <v>18</v>
      </c>
      <c r="C121" t="s">
        <v>49</v>
      </c>
      <c r="D121" s="1" t="s">
        <v>6</v>
      </c>
      <c r="E121">
        <v>2016</v>
      </c>
      <c r="F121" t="s">
        <v>50</v>
      </c>
      <c r="G121" t="s">
        <v>15</v>
      </c>
      <c r="H121" t="s">
        <v>21</v>
      </c>
      <c r="I121" t="str">
        <f t="shared" si="1"/>
        <v>mco_MET_2-4_2016_FINESSHCL_DEP</v>
      </c>
      <c r="J121" t="s">
        <v>26</v>
      </c>
    </row>
    <row r="122" spans="1:10" x14ac:dyDescent="0.35">
      <c r="A122" t="s">
        <v>1</v>
      </c>
      <c r="B122" t="s">
        <v>18</v>
      </c>
      <c r="C122" t="s">
        <v>49</v>
      </c>
      <c r="D122" s="1" t="s">
        <v>6</v>
      </c>
      <c r="E122">
        <v>2017</v>
      </c>
      <c r="F122" t="s">
        <v>50</v>
      </c>
      <c r="G122" t="s">
        <v>15</v>
      </c>
      <c r="H122" t="s">
        <v>21</v>
      </c>
      <c r="I122" t="str">
        <f t="shared" si="1"/>
        <v>mco_MET_2-4_2017_FINESSHCL_DEP</v>
      </c>
      <c r="J122" t="s">
        <v>26</v>
      </c>
    </row>
    <row r="123" spans="1:10" x14ac:dyDescent="0.35">
      <c r="A123" t="s">
        <v>1</v>
      </c>
      <c r="B123" t="s">
        <v>18</v>
      </c>
      <c r="C123" t="s">
        <v>49</v>
      </c>
      <c r="D123" s="1" t="s">
        <v>6</v>
      </c>
      <c r="E123">
        <v>2018</v>
      </c>
      <c r="F123" t="s">
        <v>50</v>
      </c>
      <c r="G123" t="s">
        <v>15</v>
      </c>
      <c r="H123" t="s">
        <v>21</v>
      </c>
      <c r="I123" t="str">
        <f t="shared" si="1"/>
        <v>mco_MET_2-4_2018_FINESSHCL_DEP</v>
      </c>
      <c r="J123" t="s">
        <v>26</v>
      </c>
    </row>
    <row r="124" spans="1:10" x14ac:dyDescent="0.35">
      <c r="A124" t="s">
        <v>1</v>
      </c>
      <c r="B124" t="s">
        <v>18</v>
      </c>
      <c r="C124" t="s">
        <v>49</v>
      </c>
      <c r="D124" s="1" t="s">
        <v>6</v>
      </c>
      <c r="E124">
        <v>2019</v>
      </c>
      <c r="F124" t="s">
        <v>50</v>
      </c>
      <c r="G124" t="s">
        <v>15</v>
      </c>
      <c r="H124" t="s">
        <v>21</v>
      </c>
      <c r="I124" t="str">
        <f t="shared" si="1"/>
        <v>mco_MET_2-4_2019_FINESSHCL_DEP</v>
      </c>
      <c r="J124" t="s">
        <v>26</v>
      </c>
    </row>
    <row r="125" spans="1:10" x14ac:dyDescent="0.35">
      <c r="A125" t="s">
        <v>1</v>
      </c>
      <c r="B125" t="s">
        <v>18</v>
      </c>
      <c r="C125" t="s">
        <v>49</v>
      </c>
      <c r="D125" s="1" t="s">
        <v>6</v>
      </c>
      <c r="E125">
        <v>2019</v>
      </c>
      <c r="F125" t="s">
        <v>50</v>
      </c>
      <c r="G125" t="s">
        <v>16</v>
      </c>
      <c r="H125" t="s">
        <v>21</v>
      </c>
      <c r="I125" t="str">
        <f t="shared" si="1"/>
        <v>mco_MET_2-4_2019_FINESSHCL_PMSI</v>
      </c>
      <c r="J125" t="s">
        <v>26</v>
      </c>
    </row>
    <row r="126" spans="1:10" x14ac:dyDescent="0.35">
      <c r="A126" t="s">
        <v>1</v>
      </c>
      <c r="B126" t="s">
        <v>18</v>
      </c>
      <c r="C126" t="s">
        <v>49</v>
      </c>
      <c r="D126" s="1" t="s">
        <v>6</v>
      </c>
      <c r="E126">
        <v>2020</v>
      </c>
      <c r="F126" t="s">
        <v>50</v>
      </c>
      <c r="G126" t="s">
        <v>15</v>
      </c>
      <c r="H126" t="s">
        <v>21</v>
      </c>
      <c r="I126" t="str">
        <f t="shared" si="1"/>
        <v>mco_MET_2-4_2020_FINESSHCL_DEP</v>
      </c>
      <c r="J126" t="s">
        <v>26</v>
      </c>
    </row>
    <row r="127" spans="1:10" x14ac:dyDescent="0.35">
      <c r="A127" t="s">
        <v>1</v>
      </c>
      <c r="B127" t="s">
        <v>18</v>
      </c>
      <c r="C127" t="s">
        <v>49</v>
      </c>
      <c r="D127" s="1" t="s">
        <v>6</v>
      </c>
      <c r="E127">
        <v>2020</v>
      </c>
      <c r="F127" t="s">
        <v>50</v>
      </c>
      <c r="G127" t="s">
        <v>16</v>
      </c>
      <c r="H127" t="s">
        <v>21</v>
      </c>
      <c r="I127" t="str">
        <f t="shared" si="1"/>
        <v>mco_MET_2-4_2020_FINESSHCL_PMSI</v>
      </c>
      <c r="J127" t="s">
        <v>26</v>
      </c>
    </row>
    <row r="128" spans="1:10" x14ac:dyDescent="0.35">
      <c r="A128" t="s">
        <v>1</v>
      </c>
      <c r="B128" t="s">
        <v>18</v>
      </c>
      <c r="C128" t="s">
        <v>49</v>
      </c>
      <c r="D128" s="1" t="s">
        <v>6</v>
      </c>
      <c r="E128">
        <v>2021</v>
      </c>
      <c r="F128" t="s">
        <v>50</v>
      </c>
      <c r="G128" t="s">
        <v>15</v>
      </c>
      <c r="H128" t="s">
        <v>21</v>
      </c>
      <c r="I128" t="str">
        <f t="shared" si="1"/>
        <v>mco_MET_2-4_2021_FINESSHCL_DEP</v>
      </c>
      <c r="J128" t="s">
        <v>26</v>
      </c>
    </row>
    <row r="129" spans="1:10" x14ac:dyDescent="0.35">
      <c r="A129" t="s">
        <v>1</v>
      </c>
      <c r="B129" t="s">
        <v>18</v>
      </c>
      <c r="C129" t="s">
        <v>49</v>
      </c>
      <c r="D129" s="1" t="s">
        <v>6</v>
      </c>
      <c r="E129">
        <v>2021</v>
      </c>
      <c r="F129" t="s">
        <v>50</v>
      </c>
      <c r="G129" t="s">
        <v>16</v>
      </c>
      <c r="H129" t="s">
        <v>21</v>
      </c>
      <c r="I129" t="str">
        <f t="shared" si="1"/>
        <v>mco_MET_2-4_2021_FINESSHCL_PMSI</v>
      </c>
      <c r="J129" t="s">
        <v>26</v>
      </c>
    </row>
    <row r="130" spans="1:10" x14ac:dyDescent="0.35">
      <c r="A130" t="s">
        <v>1</v>
      </c>
      <c r="B130" t="s">
        <v>18</v>
      </c>
      <c r="C130" t="s">
        <v>49</v>
      </c>
      <c r="D130" s="1" t="s">
        <v>6</v>
      </c>
      <c r="E130">
        <v>2022</v>
      </c>
      <c r="F130" t="s">
        <v>50</v>
      </c>
      <c r="G130" t="s">
        <v>15</v>
      </c>
      <c r="H130" t="s">
        <v>21</v>
      </c>
      <c r="I130" t="str">
        <f t="shared" ref="I130:I193" si="2">"mco_"&amp;B130&amp;"_"&amp;D130&amp;"_"&amp;E130&amp;"_"&amp;F130&amp;"_"&amp;G130</f>
        <v>mco_MET_2-4_2022_FINESSHCL_DEP</v>
      </c>
      <c r="J130" t="s">
        <v>26</v>
      </c>
    </row>
    <row r="131" spans="1:10" x14ac:dyDescent="0.35">
      <c r="A131" t="s">
        <v>1</v>
      </c>
      <c r="B131" t="s">
        <v>18</v>
      </c>
      <c r="C131" t="s">
        <v>49</v>
      </c>
      <c r="D131" s="1" t="s">
        <v>6</v>
      </c>
      <c r="E131">
        <v>2022</v>
      </c>
      <c r="F131" t="s">
        <v>50</v>
      </c>
      <c r="G131" t="s">
        <v>16</v>
      </c>
      <c r="H131" t="s">
        <v>21</v>
      </c>
      <c r="I131" t="str">
        <f t="shared" si="2"/>
        <v>mco_MET_2-4_2022_FINESSHCL_PMSI</v>
      </c>
      <c r="J131" t="s">
        <v>26</v>
      </c>
    </row>
    <row r="132" spans="1:10" x14ac:dyDescent="0.35">
      <c r="A132" t="s">
        <v>1</v>
      </c>
      <c r="B132" t="s">
        <v>18</v>
      </c>
      <c r="C132" t="s">
        <v>49</v>
      </c>
      <c r="D132" s="1" t="s">
        <v>6</v>
      </c>
      <c r="E132">
        <v>2023</v>
      </c>
      <c r="F132" t="s">
        <v>50</v>
      </c>
      <c r="G132" t="s">
        <v>15</v>
      </c>
      <c r="H132" t="s">
        <v>21</v>
      </c>
      <c r="I132" t="str">
        <f t="shared" si="2"/>
        <v>mco_MET_2-4_2023_FINESSHCL_DEP</v>
      </c>
      <c r="J132" t="s">
        <v>26</v>
      </c>
    </row>
    <row r="133" spans="1:10" x14ac:dyDescent="0.35">
      <c r="A133" t="s">
        <v>1</v>
      </c>
      <c r="B133" t="s">
        <v>18</v>
      </c>
      <c r="C133" t="s">
        <v>49</v>
      </c>
      <c r="D133" s="1" t="s">
        <v>6</v>
      </c>
      <c r="E133">
        <v>2023</v>
      </c>
      <c r="F133" t="s">
        <v>50</v>
      </c>
      <c r="G133" t="s">
        <v>16</v>
      </c>
      <c r="H133" t="s">
        <v>21</v>
      </c>
      <c r="I133" t="str">
        <f t="shared" si="2"/>
        <v>mco_MET_2-4_2023_FINESSHCL_PMSI</v>
      </c>
      <c r="J133" t="s">
        <v>26</v>
      </c>
    </row>
    <row r="134" spans="1:10" x14ac:dyDescent="0.35">
      <c r="A134" t="s">
        <v>1</v>
      </c>
      <c r="B134" t="s">
        <v>18</v>
      </c>
      <c r="C134" t="s">
        <v>49</v>
      </c>
      <c r="D134" s="1" t="s">
        <v>6</v>
      </c>
      <c r="E134">
        <v>2024</v>
      </c>
      <c r="F134" t="s">
        <v>50</v>
      </c>
      <c r="G134" t="s">
        <v>15</v>
      </c>
      <c r="H134" t="s">
        <v>21</v>
      </c>
      <c r="I134" t="str">
        <f t="shared" si="2"/>
        <v>mco_MET_2-4_2024_FINESSHCL_DEP</v>
      </c>
      <c r="J134" t="s">
        <v>26</v>
      </c>
    </row>
    <row r="135" spans="1:10" x14ac:dyDescent="0.35">
      <c r="A135" t="s">
        <v>1</v>
      </c>
      <c r="B135" t="s">
        <v>18</v>
      </c>
      <c r="C135" t="s">
        <v>49</v>
      </c>
      <c r="D135" s="1" t="s">
        <v>6</v>
      </c>
      <c r="E135">
        <v>2024</v>
      </c>
      <c r="F135" t="s">
        <v>50</v>
      </c>
      <c r="G135" t="s">
        <v>16</v>
      </c>
      <c r="H135" t="s">
        <v>21</v>
      </c>
      <c r="I135" t="str">
        <f t="shared" si="2"/>
        <v>mco_MET_2-4_2024_FINESSHCL_PMSI</v>
      </c>
      <c r="J135" t="s">
        <v>26</v>
      </c>
    </row>
    <row r="136" spans="1:10" x14ac:dyDescent="0.35">
      <c r="A136" t="s">
        <v>1</v>
      </c>
      <c r="B136" t="s">
        <v>18</v>
      </c>
      <c r="C136" t="s">
        <v>49</v>
      </c>
      <c r="D136" s="1" t="s">
        <v>6</v>
      </c>
      <c r="E136">
        <v>2025</v>
      </c>
      <c r="F136" t="s">
        <v>50</v>
      </c>
      <c r="G136" t="s">
        <v>15</v>
      </c>
      <c r="H136" t="s">
        <v>21</v>
      </c>
      <c r="I136" t="str">
        <f t="shared" si="2"/>
        <v>mco_MET_2-4_2025_FINESSHCL_DEP</v>
      </c>
      <c r="J136" t="s">
        <v>26</v>
      </c>
    </row>
    <row r="137" spans="1:10" x14ac:dyDescent="0.35">
      <c r="A137" t="s">
        <v>1</v>
      </c>
      <c r="B137" t="s">
        <v>18</v>
      </c>
      <c r="C137" t="s">
        <v>49</v>
      </c>
      <c r="D137" s="1" t="s">
        <v>6</v>
      </c>
      <c r="E137">
        <v>2025</v>
      </c>
      <c r="F137" t="s">
        <v>50</v>
      </c>
      <c r="G137" t="s">
        <v>16</v>
      </c>
      <c r="H137" t="s">
        <v>21</v>
      </c>
      <c r="I137" t="str">
        <f t="shared" si="2"/>
        <v>mco_MET_2-4_2025_FINESSHCL_PMSI</v>
      </c>
      <c r="J137" t="s">
        <v>26</v>
      </c>
    </row>
    <row r="138" spans="1:10" x14ac:dyDescent="0.35">
      <c r="A138" t="s">
        <v>1</v>
      </c>
      <c r="B138" t="s">
        <v>18</v>
      </c>
      <c r="C138" t="s">
        <v>49</v>
      </c>
      <c r="D138" s="1" t="s">
        <v>7</v>
      </c>
      <c r="E138">
        <v>2016</v>
      </c>
      <c r="F138" t="s">
        <v>50</v>
      </c>
      <c r="G138" t="s">
        <v>15</v>
      </c>
      <c r="H138" t="s">
        <v>21</v>
      </c>
      <c r="I138" t="str">
        <f t="shared" si="2"/>
        <v>mco_MET_5-17_2016_FINESSHCL_DEP</v>
      </c>
      <c r="J138" t="s">
        <v>26</v>
      </c>
    </row>
    <row r="139" spans="1:10" x14ac:dyDescent="0.35">
      <c r="A139" t="s">
        <v>1</v>
      </c>
      <c r="B139" t="s">
        <v>18</v>
      </c>
      <c r="C139" t="s">
        <v>49</v>
      </c>
      <c r="D139" s="1" t="s">
        <v>7</v>
      </c>
      <c r="E139">
        <v>2017</v>
      </c>
      <c r="F139" t="s">
        <v>50</v>
      </c>
      <c r="G139" t="s">
        <v>15</v>
      </c>
      <c r="H139" t="s">
        <v>21</v>
      </c>
      <c r="I139" t="str">
        <f t="shared" si="2"/>
        <v>mco_MET_5-17_2017_FINESSHCL_DEP</v>
      </c>
      <c r="J139" t="s">
        <v>26</v>
      </c>
    </row>
    <row r="140" spans="1:10" x14ac:dyDescent="0.35">
      <c r="A140" t="s">
        <v>1</v>
      </c>
      <c r="B140" t="s">
        <v>18</v>
      </c>
      <c r="C140" t="s">
        <v>49</v>
      </c>
      <c r="D140" s="1" t="s">
        <v>7</v>
      </c>
      <c r="E140">
        <v>2018</v>
      </c>
      <c r="F140" t="s">
        <v>50</v>
      </c>
      <c r="G140" t="s">
        <v>15</v>
      </c>
      <c r="H140" t="s">
        <v>21</v>
      </c>
      <c r="I140" t="str">
        <f t="shared" si="2"/>
        <v>mco_MET_5-17_2018_FINESSHCL_DEP</v>
      </c>
      <c r="J140" t="s">
        <v>26</v>
      </c>
    </row>
    <row r="141" spans="1:10" x14ac:dyDescent="0.35">
      <c r="A141" t="s">
        <v>1</v>
      </c>
      <c r="B141" t="s">
        <v>18</v>
      </c>
      <c r="C141" t="s">
        <v>49</v>
      </c>
      <c r="D141" s="1" t="s">
        <v>7</v>
      </c>
      <c r="E141">
        <v>2019</v>
      </c>
      <c r="F141" t="s">
        <v>50</v>
      </c>
      <c r="G141" t="s">
        <v>15</v>
      </c>
      <c r="H141" t="s">
        <v>21</v>
      </c>
      <c r="I141" t="str">
        <f t="shared" si="2"/>
        <v>mco_MET_5-17_2019_FINESSHCL_DEP</v>
      </c>
      <c r="J141" t="s">
        <v>26</v>
      </c>
    </row>
    <row r="142" spans="1:10" x14ac:dyDescent="0.35">
      <c r="A142" t="s">
        <v>1</v>
      </c>
      <c r="B142" t="s">
        <v>18</v>
      </c>
      <c r="C142" t="s">
        <v>49</v>
      </c>
      <c r="D142" s="1" t="s">
        <v>7</v>
      </c>
      <c r="E142">
        <v>2019</v>
      </c>
      <c r="F142" t="s">
        <v>50</v>
      </c>
      <c r="G142" t="s">
        <v>16</v>
      </c>
      <c r="H142" t="s">
        <v>21</v>
      </c>
      <c r="I142" t="str">
        <f t="shared" si="2"/>
        <v>mco_MET_5-17_2019_FINESSHCL_PMSI</v>
      </c>
      <c r="J142" t="s">
        <v>26</v>
      </c>
    </row>
    <row r="143" spans="1:10" x14ac:dyDescent="0.35">
      <c r="A143" t="s">
        <v>1</v>
      </c>
      <c r="B143" t="s">
        <v>18</v>
      </c>
      <c r="C143" t="s">
        <v>49</v>
      </c>
      <c r="D143" s="1" t="s">
        <v>7</v>
      </c>
      <c r="E143">
        <v>2020</v>
      </c>
      <c r="F143" t="s">
        <v>50</v>
      </c>
      <c r="G143" t="s">
        <v>15</v>
      </c>
      <c r="H143" t="s">
        <v>21</v>
      </c>
      <c r="I143" t="str">
        <f t="shared" si="2"/>
        <v>mco_MET_5-17_2020_FINESSHCL_DEP</v>
      </c>
      <c r="J143" t="s">
        <v>26</v>
      </c>
    </row>
    <row r="144" spans="1:10" x14ac:dyDescent="0.35">
      <c r="A144" t="s">
        <v>1</v>
      </c>
      <c r="B144" t="s">
        <v>18</v>
      </c>
      <c r="C144" t="s">
        <v>49</v>
      </c>
      <c r="D144" s="1" t="s">
        <v>7</v>
      </c>
      <c r="E144">
        <v>2020</v>
      </c>
      <c r="F144" t="s">
        <v>50</v>
      </c>
      <c r="G144" t="s">
        <v>16</v>
      </c>
      <c r="H144" t="s">
        <v>21</v>
      </c>
      <c r="I144" t="str">
        <f t="shared" si="2"/>
        <v>mco_MET_5-17_2020_FINESSHCL_PMSI</v>
      </c>
      <c r="J144" t="s">
        <v>26</v>
      </c>
    </row>
    <row r="145" spans="1:10" x14ac:dyDescent="0.35">
      <c r="A145" t="s">
        <v>1</v>
      </c>
      <c r="B145" t="s">
        <v>18</v>
      </c>
      <c r="C145" t="s">
        <v>49</v>
      </c>
      <c r="D145" s="1" t="s">
        <v>7</v>
      </c>
      <c r="E145">
        <v>2021</v>
      </c>
      <c r="F145" t="s">
        <v>50</v>
      </c>
      <c r="G145" t="s">
        <v>15</v>
      </c>
      <c r="H145" t="s">
        <v>21</v>
      </c>
      <c r="I145" t="str">
        <f t="shared" si="2"/>
        <v>mco_MET_5-17_2021_FINESSHCL_DEP</v>
      </c>
      <c r="J145" t="s">
        <v>26</v>
      </c>
    </row>
    <row r="146" spans="1:10" x14ac:dyDescent="0.35">
      <c r="A146" t="s">
        <v>1</v>
      </c>
      <c r="B146" t="s">
        <v>18</v>
      </c>
      <c r="C146" t="s">
        <v>49</v>
      </c>
      <c r="D146" s="1" t="s">
        <v>7</v>
      </c>
      <c r="E146">
        <v>2021</v>
      </c>
      <c r="F146" t="s">
        <v>50</v>
      </c>
      <c r="G146" t="s">
        <v>16</v>
      </c>
      <c r="H146" t="s">
        <v>21</v>
      </c>
      <c r="I146" t="str">
        <f t="shared" si="2"/>
        <v>mco_MET_5-17_2021_FINESSHCL_PMSI</v>
      </c>
      <c r="J146" t="s">
        <v>26</v>
      </c>
    </row>
    <row r="147" spans="1:10" x14ac:dyDescent="0.35">
      <c r="A147" t="s">
        <v>1</v>
      </c>
      <c r="B147" t="s">
        <v>18</v>
      </c>
      <c r="C147" t="s">
        <v>49</v>
      </c>
      <c r="D147" s="1" t="s">
        <v>7</v>
      </c>
      <c r="E147">
        <v>2022</v>
      </c>
      <c r="F147" t="s">
        <v>50</v>
      </c>
      <c r="G147" t="s">
        <v>15</v>
      </c>
      <c r="H147" t="s">
        <v>21</v>
      </c>
      <c r="I147" t="str">
        <f t="shared" si="2"/>
        <v>mco_MET_5-17_2022_FINESSHCL_DEP</v>
      </c>
      <c r="J147" t="s">
        <v>26</v>
      </c>
    </row>
    <row r="148" spans="1:10" x14ac:dyDescent="0.35">
      <c r="A148" t="s">
        <v>1</v>
      </c>
      <c r="B148" t="s">
        <v>18</v>
      </c>
      <c r="C148" t="s">
        <v>49</v>
      </c>
      <c r="D148" s="1" t="s">
        <v>7</v>
      </c>
      <c r="E148">
        <v>2022</v>
      </c>
      <c r="F148" t="s">
        <v>50</v>
      </c>
      <c r="G148" t="s">
        <v>16</v>
      </c>
      <c r="H148" t="s">
        <v>21</v>
      </c>
      <c r="I148" t="str">
        <f t="shared" si="2"/>
        <v>mco_MET_5-17_2022_FINESSHCL_PMSI</v>
      </c>
      <c r="J148" t="s">
        <v>26</v>
      </c>
    </row>
    <row r="149" spans="1:10" x14ac:dyDescent="0.35">
      <c r="A149" t="s">
        <v>1</v>
      </c>
      <c r="B149" t="s">
        <v>18</v>
      </c>
      <c r="C149" t="s">
        <v>49</v>
      </c>
      <c r="D149" s="1" t="s">
        <v>7</v>
      </c>
      <c r="E149">
        <v>2023</v>
      </c>
      <c r="F149" t="s">
        <v>50</v>
      </c>
      <c r="G149" t="s">
        <v>15</v>
      </c>
      <c r="H149" t="s">
        <v>21</v>
      </c>
      <c r="I149" t="str">
        <f t="shared" si="2"/>
        <v>mco_MET_5-17_2023_FINESSHCL_DEP</v>
      </c>
      <c r="J149" t="s">
        <v>26</v>
      </c>
    </row>
    <row r="150" spans="1:10" x14ac:dyDescent="0.35">
      <c r="A150" t="s">
        <v>1</v>
      </c>
      <c r="B150" t="s">
        <v>18</v>
      </c>
      <c r="C150" t="s">
        <v>49</v>
      </c>
      <c r="D150" s="1" t="s">
        <v>7</v>
      </c>
      <c r="E150">
        <v>2023</v>
      </c>
      <c r="F150" t="s">
        <v>50</v>
      </c>
      <c r="G150" t="s">
        <v>16</v>
      </c>
      <c r="H150" t="s">
        <v>21</v>
      </c>
      <c r="I150" t="str">
        <f t="shared" si="2"/>
        <v>mco_MET_5-17_2023_FINESSHCL_PMSI</v>
      </c>
      <c r="J150" t="s">
        <v>26</v>
      </c>
    </row>
    <row r="151" spans="1:10" x14ac:dyDescent="0.35">
      <c r="A151" t="s">
        <v>1</v>
      </c>
      <c r="B151" t="s">
        <v>18</v>
      </c>
      <c r="C151" t="s">
        <v>49</v>
      </c>
      <c r="D151" s="1" t="s">
        <v>7</v>
      </c>
      <c r="E151">
        <v>2024</v>
      </c>
      <c r="F151" t="s">
        <v>50</v>
      </c>
      <c r="G151" t="s">
        <v>15</v>
      </c>
      <c r="H151" t="s">
        <v>21</v>
      </c>
      <c r="I151" t="str">
        <f t="shared" si="2"/>
        <v>mco_MET_5-17_2024_FINESSHCL_DEP</v>
      </c>
      <c r="J151" t="s">
        <v>26</v>
      </c>
    </row>
    <row r="152" spans="1:10" x14ac:dyDescent="0.35">
      <c r="A152" t="s">
        <v>1</v>
      </c>
      <c r="B152" t="s">
        <v>18</v>
      </c>
      <c r="C152" t="s">
        <v>49</v>
      </c>
      <c r="D152" s="1" t="s">
        <v>7</v>
      </c>
      <c r="E152">
        <v>2024</v>
      </c>
      <c r="F152" t="s">
        <v>50</v>
      </c>
      <c r="G152" t="s">
        <v>16</v>
      </c>
      <c r="H152" t="s">
        <v>21</v>
      </c>
      <c r="I152" t="str">
        <f t="shared" si="2"/>
        <v>mco_MET_5-17_2024_FINESSHCL_PMSI</v>
      </c>
      <c r="J152" t="s">
        <v>26</v>
      </c>
    </row>
    <row r="153" spans="1:10" x14ac:dyDescent="0.35">
      <c r="A153" t="s">
        <v>1</v>
      </c>
      <c r="B153" t="s">
        <v>18</v>
      </c>
      <c r="C153" t="s">
        <v>49</v>
      </c>
      <c r="D153" s="1" t="s">
        <v>7</v>
      </c>
      <c r="E153">
        <v>2025</v>
      </c>
      <c r="F153" t="s">
        <v>50</v>
      </c>
      <c r="G153" t="s">
        <v>15</v>
      </c>
      <c r="H153" t="s">
        <v>21</v>
      </c>
      <c r="I153" t="str">
        <f t="shared" si="2"/>
        <v>mco_MET_5-17_2025_FINESSHCL_DEP</v>
      </c>
      <c r="J153" t="s">
        <v>26</v>
      </c>
    </row>
    <row r="154" spans="1:10" x14ac:dyDescent="0.35">
      <c r="A154" t="s">
        <v>1</v>
      </c>
      <c r="B154" t="s">
        <v>18</v>
      </c>
      <c r="C154" t="s">
        <v>49</v>
      </c>
      <c r="D154" s="1" t="s">
        <v>7</v>
      </c>
      <c r="E154">
        <v>2025</v>
      </c>
      <c r="F154" t="s">
        <v>50</v>
      </c>
      <c r="G154" t="s">
        <v>16</v>
      </c>
      <c r="H154" t="s">
        <v>21</v>
      </c>
      <c r="I154" t="str">
        <f t="shared" si="2"/>
        <v>mco_MET_5-17_2025_FINESSHCL_PMSI</v>
      </c>
      <c r="J154" t="s">
        <v>26</v>
      </c>
    </row>
    <row r="155" spans="1:10" x14ac:dyDescent="0.35">
      <c r="A155" t="s">
        <v>1</v>
      </c>
      <c r="B155" t="s">
        <v>18</v>
      </c>
      <c r="C155" t="s">
        <v>49</v>
      </c>
      <c r="D155" s="1" t="s">
        <v>8</v>
      </c>
      <c r="E155">
        <v>2016</v>
      </c>
      <c r="F155" t="s">
        <v>50</v>
      </c>
      <c r="G155" t="s">
        <v>15</v>
      </c>
      <c r="H155" t="s">
        <v>21</v>
      </c>
      <c r="I155" t="str">
        <f t="shared" si="2"/>
        <v>mco_MET_18-64_2016_FINESSHCL_DEP</v>
      </c>
      <c r="J155" t="s">
        <v>26</v>
      </c>
    </row>
    <row r="156" spans="1:10" x14ac:dyDescent="0.35">
      <c r="A156" t="s">
        <v>1</v>
      </c>
      <c r="B156" t="s">
        <v>18</v>
      </c>
      <c r="C156" t="s">
        <v>49</v>
      </c>
      <c r="D156" s="1" t="s">
        <v>8</v>
      </c>
      <c r="E156">
        <v>2017</v>
      </c>
      <c r="F156" t="s">
        <v>50</v>
      </c>
      <c r="G156" t="s">
        <v>15</v>
      </c>
      <c r="H156" t="s">
        <v>21</v>
      </c>
      <c r="I156" t="str">
        <f t="shared" si="2"/>
        <v>mco_MET_18-64_2017_FINESSHCL_DEP</v>
      </c>
      <c r="J156" t="s">
        <v>26</v>
      </c>
    </row>
    <row r="157" spans="1:10" x14ac:dyDescent="0.35">
      <c r="A157" t="s">
        <v>1</v>
      </c>
      <c r="B157" t="s">
        <v>18</v>
      </c>
      <c r="C157" t="s">
        <v>49</v>
      </c>
      <c r="D157" s="1" t="s">
        <v>8</v>
      </c>
      <c r="E157">
        <v>2018</v>
      </c>
      <c r="F157" t="s">
        <v>50</v>
      </c>
      <c r="G157" t="s">
        <v>15</v>
      </c>
      <c r="H157" t="s">
        <v>21</v>
      </c>
      <c r="I157" t="str">
        <f t="shared" si="2"/>
        <v>mco_MET_18-64_2018_FINESSHCL_DEP</v>
      </c>
      <c r="J157" t="s">
        <v>26</v>
      </c>
    </row>
    <row r="158" spans="1:10" x14ac:dyDescent="0.35">
      <c r="A158" t="s">
        <v>1</v>
      </c>
      <c r="B158" t="s">
        <v>18</v>
      </c>
      <c r="C158" t="s">
        <v>49</v>
      </c>
      <c r="D158" s="1" t="s">
        <v>8</v>
      </c>
      <c r="E158">
        <v>2019</v>
      </c>
      <c r="F158" t="s">
        <v>50</v>
      </c>
      <c r="G158" t="s">
        <v>15</v>
      </c>
      <c r="H158" t="s">
        <v>21</v>
      </c>
      <c r="I158" t="str">
        <f t="shared" si="2"/>
        <v>mco_MET_18-64_2019_FINESSHCL_DEP</v>
      </c>
      <c r="J158" t="s">
        <v>26</v>
      </c>
    </row>
    <row r="159" spans="1:10" x14ac:dyDescent="0.35">
      <c r="A159" t="s">
        <v>1</v>
      </c>
      <c r="B159" t="s">
        <v>18</v>
      </c>
      <c r="C159" t="s">
        <v>49</v>
      </c>
      <c r="D159" s="1" t="s">
        <v>8</v>
      </c>
      <c r="E159">
        <v>2019</v>
      </c>
      <c r="F159" t="s">
        <v>50</v>
      </c>
      <c r="G159" t="s">
        <v>16</v>
      </c>
      <c r="H159" t="s">
        <v>21</v>
      </c>
      <c r="I159" t="str">
        <f t="shared" si="2"/>
        <v>mco_MET_18-64_2019_FINESSHCL_PMSI</v>
      </c>
      <c r="J159" t="s">
        <v>26</v>
      </c>
    </row>
    <row r="160" spans="1:10" x14ac:dyDescent="0.35">
      <c r="A160" t="s">
        <v>1</v>
      </c>
      <c r="B160" t="s">
        <v>18</v>
      </c>
      <c r="C160" t="s">
        <v>49</v>
      </c>
      <c r="D160" s="1" t="s">
        <v>8</v>
      </c>
      <c r="E160">
        <v>2020</v>
      </c>
      <c r="F160" t="s">
        <v>50</v>
      </c>
      <c r="G160" t="s">
        <v>15</v>
      </c>
      <c r="H160" t="s">
        <v>21</v>
      </c>
      <c r="I160" t="str">
        <f t="shared" si="2"/>
        <v>mco_MET_18-64_2020_FINESSHCL_DEP</v>
      </c>
      <c r="J160" t="s">
        <v>26</v>
      </c>
    </row>
    <row r="161" spans="1:10" x14ac:dyDescent="0.35">
      <c r="A161" t="s">
        <v>1</v>
      </c>
      <c r="B161" t="s">
        <v>18</v>
      </c>
      <c r="C161" t="s">
        <v>49</v>
      </c>
      <c r="D161" s="1" t="s">
        <v>8</v>
      </c>
      <c r="E161">
        <v>2020</v>
      </c>
      <c r="F161" t="s">
        <v>50</v>
      </c>
      <c r="G161" t="s">
        <v>16</v>
      </c>
      <c r="H161" t="s">
        <v>21</v>
      </c>
      <c r="I161" t="str">
        <f t="shared" si="2"/>
        <v>mco_MET_18-64_2020_FINESSHCL_PMSI</v>
      </c>
      <c r="J161" t="s">
        <v>26</v>
      </c>
    </row>
    <row r="162" spans="1:10" x14ac:dyDescent="0.35">
      <c r="A162" t="s">
        <v>1</v>
      </c>
      <c r="B162" t="s">
        <v>18</v>
      </c>
      <c r="C162" t="s">
        <v>49</v>
      </c>
      <c r="D162" s="1" t="s">
        <v>8</v>
      </c>
      <c r="E162">
        <v>2021</v>
      </c>
      <c r="F162" t="s">
        <v>50</v>
      </c>
      <c r="G162" t="s">
        <v>15</v>
      </c>
      <c r="H162" t="s">
        <v>21</v>
      </c>
      <c r="I162" t="str">
        <f t="shared" si="2"/>
        <v>mco_MET_18-64_2021_FINESSHCL_DEP</v>
      </c>
      <c r="J162" t="s">
        <v>26</v>
      </c>
    </row>
    <row r="163" spans="1:10" x14ac:dyDescent="0.35">
      <c r="A163" t="s">
        <v>1</v>
      </c>
      <c r="B163" t="s">
        <v>18</v>
      </c>
      <c r="C163" t="s">
        <v>49</v>
      </c>
      <c r="D163" s="1" t="s">
        <v>8</v>
      </c>
      <c r="E163">
        <v>2021</v>
      </c>
      <c r="F163" t="s">
        <v>50</v>
      </c>
      <c r="G163" t="s">
        <v>16</v>
      </c>
      <c r="H163" t="s">
        <v>21</v>
      </c>
      <c r="I163" t="str">
        <f t="shared" si="2"/>
        <v>mco_MET_18-64_2021_FINESSHCL_PMSI</v>
      </c>
      <c r="J163" t="s">
        <v>26</v>
      </c>
    </row>
    <row r="164" spans="1:10" x14ac:dyDescent="0.35">
      <c r="A164" t="s">
        <v>1</v>
      </c>
      <c r="B164" t="s">
        <v>18</v>
      </c>
      <c r="C164" t="s">
        <v>49</v>
      </c>
      <c r="D164" s="1" t="s">
        <v>8</v>
      </c>
      <c r="E164">
        <v>2022</v>
      </c>
      <c r="F164" t="s">
        <v>50</v>
      </c>
      <c r="G164" t="s">
        <v>15</v>
      </c>
      <c r="H164" t="s">
        <v>21</v>
      </c>
      <c r="I164" t="str">
        <f t="shared" si="2"/>
        <v>mco_MET_18-64_2022_FINESSHCL_DEP</v>
      </c>
      <c r="J164" t="s">
        <v>26</v>
      </c>
    </row>
    <row r="165" spans="1:10" x14ac:dyDescent="0.35">
      <c r="A165" t="s">
        <v>1</v>
      </c>
      <c r="B165" t="s">
        <v>18</v>
      </c>
      <c r="C165" t="s">
        <v>49</v>
      </c>
      <c r="D165" s="1" t="s">
        <v>8</v>
      </c>
      <c r="E165">
        <v>2022</v>
      </c>
      <c r="F165" t="s">
        <v>50</v>
      </c>
      <c r="G165" t="s">
        <v>16</v>
      </c>
      <c r="H165" t="s">
        <v>21</v>
      </c>
      <c r="I165" t="str">
        <f t="shared" si="2"/>
        <v>mco_MET_18-64_2022_FINESSHCL_PMSI</v>
      </c>
      <c r="J165" t="s">
        <v>26</v>
      </c>
    </row>
    <row r="166" spans="1:10" x14ac:dyDescent="0.35">
      <c r="A166" t="s">
        <v>1</v>
      </c>
      <c r="B166" t="s">
        <v>18</v>
      </c>
      <c r="C166" t="s">
        <v>49</v>
      </c>
      <c r="D166" s="1" t="s">
        <v>8</v>
      </c>
      <c r="E166">
        <v>2023</v>
      </c>
      <c r="F166" t="s">
        <v>50</v>
      </c>
      <c r="G166" t="s">
        <v>15</v>
      </c>
      <c r="H166" t="s">
        <v>21</v>
      </c>
      <c r="I166" t="str">
        <f t="shared" si="2"/>
        <v>mco_MET_18-64_2023_FINESSHCL_DEP</v>
      </c>
      <c r="J166" t="s">
        <v>26</v>
      </c>
    </row>
    <row r="167" spans="1:10" x14ac:dyDescent="0.35">
      <c r="A167" t="s">
        <v>1</v>
      </c>
      <c r="B167" t="s">
        <v>18</v>
      </c>
      <c r="C167" t="s">
        <v>49</v>
      </c>
      <c r="D167" s="1" t="s">
        <v>8</v>
      </c>
      <c r="E167">
        <v>2023</v>
      </c>
      <c r="F167" t="s">
        <v>50</v>
      </c>
      <c r="G167" t="s">
        <v>16</v>
      </c>
      <c r="H167" t="s">
        <v>21</v>
      </c>
      <c r="I167" t="str">
        <f t="shared" si="2"/>
        <v>mco_MET_18-64_2023_FINESSHCL_PMSI</v>
      </c>
      <c r="J167" t="s">
        <v>26</v>
      </c>
    </row>
    <row r="168" spans="1:10" x14ac:dyDescent="0.35">
      <c r="A168" t="s">
        <v>1</v>
      </c>
      <c r="B168" t="s">
        <v>18</v>
      </c>
      <c r="C168" t="s">
        <v>49</v>
      </c>
      <c r="D168" s="1" t="s">
        <v>8</v>
      </c>
      <c r="E168">
        <v>2024</v>
      </c>
      <c r="F168" t="s">
        <v>50</v>
      </c>
      <c r="G168" t="s">
        <v>15</v>
      </c>
      <c r="H168" t="s">
        <v>21</v>
      </c>
      <c r="I168" t="str">
        <f t="shared" si="2"/>
        <v>mco_MET_18-64_2024_FINESSHCL_DEP</v>
      </c>
      <c r="J168" t="s">
        <v>26</v>
      </c>
    </row>
    <row r="169" spans="1:10" x14ac:dyDescent="0.35">
      <c r="A169" t="s">
        <v>1</v>
      </c>
      <c r="B169" t="s">
        <v>18</v>
      </c>
      <c r="C169" t="s">
        <v>49</v>
      </c>
      <c r="D169" s="1" t="s">
        <v>8</v>
      </c>
      <c r="E169">
        <v>2024</v>
      </c>
      <c r="F169" t="s">
        <v>50</v>
      </c>
      <c r="G169" t="s">
        <v>16</v>
      </c>
      <c r="H169" t="s">
        <v>21</v>
      </c>
      <c r="I169" t="str">
        <f t="shared" si="2"/>
        <v>mco_MET_18-64_2024_FINESSHCL_PMSI</v>
      </c>
      <c r="J169" t="s">
        <v>26</v>
      </c>
    </row>
    <row r="170" spans="1:10" x14ac:dyDescent="0.35">
      <c r="A170" t="s">
        <v>1</v>
      </c>
      <c r="B170" t="s">
        <v>18</v>
      </c>
      <c r="C170" t="s">
        <v>49</v>
      </c>
      <c r="D170" s="1" t="s">
        <v>8</v>
      </c>
      <c r="E170">
        <v>2025</v>
      </c>
      <c r="F170" t="s">
        <v>50</v>
      </c>
      <c r="G170" t="s">
        <v>15</v>
      </c>
      <c r="H170" t="s">
        <v>21</v>
      </c>
      <c r="I170" t="str">
        <f t="shared" si="2"/>
        <v>mco_MET_18-64_2025_FINESSHCL_DEP</v>
      </c>
      <c r="J170" t="s">
        <v>26</v>
      </c>
    </row>
    <row r="171" spans="1:10" x14ac:dyDescent="0.35">
      <c r="A171" t="s">
        <v>1</v>
      </c>
      <c r="B171" t="s">
        <v>18</v>
      </c>
      <c r="C171" t="s">
        <v>49</v>
      </c>
      <c r="D171" s="1" t="s">
        <v>8</v>
      </c>
      <c r="E171">
        <v>2025</v>
      </c>
      <c r="F171" t="s">
        <v>50</v>
      </c>
      <c r="G171" t="s">
        <v>16</v>
      </c>
      <c r="H171" t="s">
        <v>21</v>
      </c>
      <c r="I171" t="str">
        <f t="shared" si="2"/>
        <v>mco_MET_18-64_2025_FINESSHCL_PMSI</v>
      </c>
      <c r="J171" t="s">
        <v>26</v>
      </c>
    </row>
    <row r="172" spans="1:10" x14ac:dyDescent="0.35">
      <c r="A172" t="s">
        <v>1</v>
      </c>
      <c r="B172" t="s">
        <v>18</v>
      </c>
      <c r="C172" t="s">
        <v>49</v>
      </c>
      <c r="D172" s="1" t="s">
        <v>9</v>
      </c>
      <c r="E172">
        <v>2016</v>
      </c>
      <c r="F172" t="s">
        <v>50</v>
      </c>
      <c r="G172" t="s">
        <v>15</v>
      </c>
      <c r="H172" t="s">
        <v>21</v>
      </c>
      <c r="I172" t="str">
        <f t="shared" si="2"/>
        <v>mco_MET_65-79_2016_FINESSHCL_DEP</v>
      </c>
      <c r="J172" t="s">
        <v>26</v>
      </c>
    </row>
    <row r="173" spans="1:10" x14ac:dyDescent="0.35">
      <c r="A173" t="s">
        <v>1</v>
      </c>
      <c r="B173" t="s">
        <v>18</v>
      </c>
      <c r="C173" t="s">
        <v>49</v>
      </c>
      <c r="D173" s="1" t="s">
        <v>9</v>
      </c>
      <c r="E173">
        <v>2017</v>
      </c>
      <c r="F173" t="s">
        <v>50</v>
      </c>
      <c r="G173" t="s">
        <v>15</v>
      </c>
      <c r="H173" t="s">
        <v>21</v>
      </c>
      <c r="I173" t="str">
        <f t="shared" si="2"/>
        <v>mco_MET_65-79_2017_FINESSHCL_DEP</v>
      </c>
      <c r="J173" t="s">
        <v>26</v>
      </c>
    </row>
    <row r="174" spans="1:10" x14ac:dyDescent="0.35">
      <c r="A174" t="s">
        <v>1</v>
      </c>
      <c r="B174" t="s">
        <v>18</v>
      </c>
      <c r="C174" t="s">
        <v>49</v>
      </c>
      <c r="D174" s="1" t="s">
        <v>9</v>
      </c>
      <c r="E174">
        <v>2018</v>
      </c>
      <c r="F174" t="s">
        <v>50</v>
      </c>
      <c r="G174" t="s">
        <v>15</v>
      </c>
      <c r="H174" t="s">
        <v>21</v>
      </c>
      <c r="I174" t="str">
        <f t="shared" si="2"/>
        <v>mco_MET_65-79_2018_FINESSHCL_DEP</v>
      </c>
      <c r="J174" t="s">
        <v>26</v>
      </c>
    </row>
    <row r="175" spans="1:10" x14ac:dyDescent="0.35">
      <c r="A175" t="s">
        <v>1</v>
      </c>
      <c r="B175" t="s">
        <v>18</v>
      </c>
      <c r="C175" t="s">
        <v>49</v>
      </c>
      <c r="D175" s="1" t="s">
        <v>9</v>
      </c>
      <c r="E175">
        <v>2019</v>
      </c>
      <c r="F175" t="s">
        <v>50</v>
      </c>
      <c r="G175" t="s">
        <v>15</v>
      </c>
      <c r="H175" t="s">
        <v>21</v>
      </c>
      <c r="I175" t="str">
        <f t="shared" si="2"/>
        <v>mco_MET_65-79_2019_FINESSHCL_DEP</v>
      </c>
      <c r="J175" t="s">
        <v>26</v>
      </c>
    </row>
    <row r="176" spans="1:10" x14ac:dyDescent="0.35">
      <c r="A176" t="s">
        <v>1</v>
      </c>
      <c r="B176" t="s">
        <v>18</v>
      </c>
      <c r="C176" t="s">
        <v>49</v>
      </c>
      <c r="D176" s="1" t="s">
        <v>9</v>
      </c>
      <c r="E176">
        <v>2019</v>
      </c>
      <c r="F176" t="s">
        <v>50</v>
      </c>
      <c r="G176" t="s">
        <v>16</v>
      </c>
      <c r="H176" t="s">
        <v>21</v>
      </c>
      <c r="I176" t="str">
        <f t="shared" si="2"/>
        <v>mco_MET_65-79_2019_FINESSHCL_PMSI</v>
      </c>
      <c r="J176" t="s">
        <v>26</v>
      </c>
    </row>
    <row r="177" spans="1:10" x14ac:dyDescent="0.35">
      <c r="A177" t="s">
        <v>1</v>
      </c>
      <c r="B177" t="s">
        <v>18</v>
      </c>
      <c r="C177" t="s">
        <v>49</v>
      </c>
      <c r="D177" s="1" t="s">
        <v>9</v>
      </c>
      <c r="E177">
        <v>2020</v>
      </c>
      <c r="F177" t="s">
        <v>50</v>
      </c>
      <c r="G177" t="s">
        <v>15</v>
      </c>
      <c r="H177" t="s">
        <v>21</v>
      </c>
      <c r="I177" t="str">
        <f t="shared" si="2"/>
        <v>mco_MET_65-79_2020_FINESSHCL_DEP</v>
      </c>
      <c r="J177" t="s">
        <v>26</v>
      </c>
    </row>
    <row r="178" spans="1:10" x14ac:dyDescent="0.35">
      <c r="A178" t="s">
        <v>1</v>
      </c>
      <c r="B178" t="s">
        <v>18</v>
      </c>
      <c r="C178" t="s">
        <v>49</v>
      </c>
      <c r="D178" s="1" t="s">
        <v>9</v>
      </c>
      <c r="E178">
        <v>2020</v>
      </c>
      <c r="F178" t="s">
        <v>50</v>
      </c>
      <c r="G178" t="s">
        <v>16</v>
      </c>
      <c r="H178" t="s">
        <v>21</v>
      </c>
      <c r="I178" t="str">
        <f t="shared" si="2"/>
        <v>mco_MET_65-79_2020_FINESSHCL_PMSI</v>
      </c>
      <c r="J178" t="s">
        <v>26</v>
      </c>
    </row>
    <row r="179" spans="1:10" x14ac:dyDescent="0.35">
      <c r="A179" t="s">
        <v>1</v>
      </c>
      <c r="B179" t="s">
        <v>18</v>
      </c>
      <c r="C179" t="s">
        <v>49</v>
      </c>
      <c r="D179" s="1" t="s">
        <v>9</v>
      </c>
      <c r="E179">
        <v>2021</v>
      </c>
      <c r="F179" t="s">
        <v>50</v>
      </c>
      <c r="G179" t="s">
        <v>15</v>
      </c>
      <c r="H179" t="s">
        <v>21</v>
      </c>
      <c r="I179" t="str">
        <f t="shared" si="2"/>
        <v>mco_MET_65-79_2021_FINESSHCL_DEP</v>
      </c>
      <c r="J179" t="s">
        <v>26</v>
      </c>
    </row>
    <row r="180" spans="1:10" x14ac:dyDescent="0.35">
      <c r="A180" t="s">
        <v>1</v>
      </c>
      <c r="B180" t="s">
        <v>18</v>
      </c>
      <c r="C180" t="s">
        <v>49</v>
      </c>
      <c r="D180" s="1" t="s">
        <v>9</v>
      </c>
      <c r="E180">
        <v>2021</v>
      </c>
      <c r="F180" t="s">
        <v>50</v>
      </c>
      <c r="G180" t="s">
        <v>16</v>
      </c>
      <c r="H180" t="s">
        <v>21</v>
      </c>
      <c r="I180" t="str">
        <f t="shared" si="2"/>
        <v>mco_MET_65-79_2021_FINESSHCL_PMSI</v>
      </c>
      <c r="J180" t="s">
        <v>26</v>
      </c>
    </row>
    <row r="181" spans="1:10" x14ac:dyDescent="0.35">
      <c r="A181" t="s">
        <v>1</v>
      </c>
      <c r="B181" t="s">
        <v>18</v>
      </c>
      <c r="C181" t="s">
        <v>49</v>
      </c>
      <c r="D181" s="1" t="s">
        <v>9</v>
      </c>
      <c r="E181">
        <v>2022</v>
      </c>
      <c r="F181" t="s">
        <v>50</v>
      </c>
      <c r="G181" t="s">
        <v>15</v>
      </c>
      <c r="H181" t="s">
        <v>21</v>
      </c>
      <c r="I181" t="str">
        <f t="shared" si="2"/>
        <v>mco_MET_65-79_2022_FINESSHCL_DEP</v>
      </c>
      <c r="J181" t="s">
        <v>26</v>
      </c>
    </row>
    <row r="182" spans="1:10" x14ac:dyDescent="0.35">
      <c r="A182" t="s">
        <v>1</v>
      </c>
      <c r="B182" t="s">
        <v>18</v>
      </c>
      <c r="C182" t="s">
        <v>49</v>
      </c>
      <c r="D182" s="1" t="s">
        <v>9</v>
      </c>
      <c r="E182">
        <v>2022</v>
      </c>
      <c r="F182" t="s">
        <v>50</v>
      </c>
      <c r="G182" t="s">
        <v>16</v>
      </c>
      <c r="H182" t="s">
        <v>21</v>
      </c>
      <c r="I182" t="str">
        <f t="shared" si="2"/>
        <v>mco_MET_65-79_2022_FINESSHCL_PMSI</v>
      </c>
      <c r="J182" t="s">
        <v>26</v>
      </c>
    </row>
    <row r="183" spans="1:10" x14ac:dyDescent="0.35">
      <c r="A183" t="s">
        <v>1</v>
      </c>
      <c r="B183" t="s">
        <v>18</v>
      </c>
      <c r="C183" t="s">
        <v>49</v>
      </c>
      <c r="D183" s="1" t="s">
        <v>9</v>
      </c>
      <c r="E183">
        <v>2023</v>
      </c>
      <c r="F183" t="s">
        <v>50</v>
      </c>
      <c r="G183" t="s">
        <v>15</v>
      </c>
      <c r="H183" t="s">
        <v>21</v>
      </c>
      <c r="I183" t="str">
        <f t="shared" si="2"/>
        <v>mco_MET_65-79_2023_FINESSHCL_DEP</v>
      </c>
      <c r="J183" t="s">
        <v>26</v>
      </c>
    </row>
    <row r="184" spans="1:10" x14ac:dyDescent="0.35">
      <c r="A184" t="s">
        <v>1</v>
      </c>
      <c r="B184" t="s">
        <v>18</v>
      </c>
      <c r="C184" t="s">
        <v>49</v>
      </c>
      <c r="D184" s="1" t="s">
        <v>9</v>
      </c>
      <c r="E184">
        <v>2023</v>
      </c>
      <c r="F184" t="s">
        <v>50</v>
      </c>
      <c r="G184" t="s">
        <v>16</v>
      </c>
      <c r="H184" t="s">
        <v>21</v>
      </c>
      <c r="I184" t="str">
        <f t="shared" si="2"/>
        <v>mco_MET_65-79_2023_FINESSHCL_PMSI</v>
      </c>
      <c r="J184" t="s">
        <v>26</v>
      </c>
    </row>
    <row r="185" spans="1:10" x14ac:dyDescent="0.35">
      <c r="A185" t="s">
        <v>1</v>
      </c>
      <c r="B185" t="s">
        <v>18</v>
      </c>
      <c r="C185" t="s">
        <v>49</v>
      </c>
      <c r="D185" s="1" t="s">
        <v>9</v>
      </c>
      <c r="E185">
        <v>2024</v>
      </c>
      <c r="F185" t="s">
        <v>50</v>
      </c>
      <c r="G185" t="s">
        <v>15</v>
      </c>
      <c r="H185" t="s">
        <v>21</v>
      </c>
      <c r="I185" t="str">
        <f t="shared" si="2"/>
        <v>mco_MET_65-79_2024_FINESSHCL_DEP</v>
      </c>
      <c r="J185" t="s">
        <v>26</v>
      </c>
    </row>
    <row r="186" spans="1:10" x14ac:dyDescent="0.35">
      <c r="A186" t="s">
        <v>1</v>
      </c>
      <c r="B186" t="s">
        <v>18</v>
      </c>
      <c r="C186" t="s">
        <v>49</v>
      </c>
      <c r="D186" s="1" t="s">
        <v>9</v>
      </c>
      <c r="E186">
        <v>2024</v>
      </c>
      <c r="F186" t="s">
        <v>50</v>
      </c>
      <c r="G186" t="s">
        <v>16</v>
      </c>
      <c r="H186" t="s">
        <v>21</v>
      </c>
      <c r="I186" t="str">
        <f t="shared" si="2"/>
        <v>mco_MET_65-79_2024_FINESSHCL_PMSI</v>
      </c>
      <c r="J186" t="s">
        <v>26</v>
      </c>
    </row>
    <row r="187" spans="1:10" x14ac:dyDescent="0.35">
      <c r="A187" t="s">
        <v>1</v>
      </c>
      <c r="B187" t="s">
        <v>18</v>
      </c>
      <c r="C187" t="s">
        <v>49</v>
      </c>
      <c r="D187" s="1" t="s">
        <v>9</v>
      </c>
      <c r="E187">
        <v>2025</v>
      </c>
      <c r="F187" t="s">
        <v>50</v>
      </c>
      <c r="G187" t="s">
        <v>15</v>
      </c>
      <c r="H187" t="s">
        <v>21</v>
      </c>
      <c r="I187" t="str">
        <f t="shared" si="2"/>
        <v>mco_MET_65-79_2025_FINESSHCL_DEP</v>
      </c>
      <c r="J187" t="s">
        <v>26</v>
      </c>
    </row>
    <row r="188" spans="1:10" x14ac:dyDescent="0.35">
      <c r="A188" t="s">
        <v>1</v>
      </c>
      <c r="B188" t="s">
        <v>18</v>
      </c>
      <c r="C188" t="s">
        <v>49</v>
      </c>
      <c r="D188" s="1" t="s">
        <v>9</v>
      </c>
      <c r="E188">
        <v>2025</v>
      </c>
      <c r="F188" t="s">
        <v>50</v>
      </c>
      <c r="G188" t="s">
        <v>16</v>
      </c>
      <c r="H188" t="s">
        <v>21</v>
      </c>
      <c r="I188" t="str">
        <f t="shared" si="2"/>
        <v>mco_MET_65-79_2025_FINESSHCL_PMSI</v>
      </c>
      <c r="J188" t="s">
        <v>26</v>
      </c>
    </row>
    <row r="189" spans="1:10" x14ac:dyDescent="0.35">
      <c r="A189" t="s">
        <v>1</v>
      </c>
      <c r="B189" t="s">
        <v>18</v>
      </c>
      <c r="C189" t="s">
        <v>49</v>
      </c>
      <c r="D189" s="1" t="s">
        <v>10</v>
      </c>
      <c r="E189">
        <v>2016</v>
      </c>
      <c r="F189" t="s">
        <v>50</v>
      </c>
      <c r="G189" t="s">
        <v>15</v>
      </c>
      <c r="H189" t="s">
        <v>21</v>
      </c>
      <c r="I189" t="str">
        <f t="shared" si="2"/>
        <v>mco_MET_80+_2016_FINESSHCL_DEP</v>
      </c>
      <c r="J189" t="s">
        <v>26</v>
      </c>
    </row>
    <row r="190" spans="1:10" x14ac:dyDescent="0.35">
      <c r="A190" t="s">
        <v>1</v>
      </c>
      <c r="B190" t="s">
        <v>18</v>
      </c>
      <c r="C190" t="s">
        <v>49</v>
      </c>
      <c r="D190" s="1" t="s">
        <v>10</v>
      </c>
      <c r="E190">
        <v>2017</v>
      </c>
      <c r="F190" t="s">
        <v>50</v>
      </c>
      <c r="G190" t="s">
        <v>15</v>
      </c>
      <c r="H190" t="s">
        <v>21</v>
      </c>
      <c r="I190" t="str">
        <f t="shared" si="2"/>
        <v>mco_MET_80+_2017_FINESSHCL_DEP</v>
      </c>
      <c r="J190" t="s">
        <v>26</v>
      </c>
    </row>
    <row r="191" spans="1:10" x14ac:dyDescent="0.35">
      <c r="A191" t="s">
        <v>1</v>
      </c>
      <c r="B191" t="s">
        <v>18</v>
      </c>
      <c r="C191" t="s">
        <v>49</v>
      </c>
      <c r="D191" s="1" t="s">
        <v>10</v>
      </c>
      <c r="E191">
        <v>2018</v>
      </c>
      <c r="F191" t="s">
        <v>50</v>
      </c>
      <c r="G191" t="s">
        <v>15</v>
      </c>
      <c r="H191" t="s">
        <v>21</v>
      </c>
      <c r="I191" t="str">
        <f t="shared" si="2"/>
        <v>mco_MET_80+_2018_FINESSHCL_DEP</v>
      </c>
      <c r="J191" t="s">
        <v>26</v>
      </c>
    </row>
    <row r="192" spans="1:10" x14ac:dyDescent="0.35">
      <c r="A192" t="s">
        <v>1</v>
      </c>
      <c r="B192" t="s">
        <v>18</v>
      </c>
      <c r="C192" t="s">
        <v>49</v>
      </c>
      <c r="D192" s="1" t="s">
        <v>10</v>
      </c>
      <c r="E192">
        <v>2019</v>
      </c>
      <c r="F192" t="s">
        <v>50</v>
      </c>
      <c r="G192" t="s">
        <v>15</v>
      </c>
      <c r="H192" t="s">
        <v>21</v>
      </c>
      <c r="I192" t="str">
        <f t="shared" si="2"/>
        <v>mco_MET_80+_2019_FINESSHCL_DEP</v>
      </c>
      <c r="J192" t="s">
        <v>26</v>
      </c>
    </row>
    <row r="193" spans="1:10" x14ac:dyDescent="0.35">
      <c r="A193" t="s">
        <v>1</v>
      </c>
      <c r="B193" t="s">
        <v>18</v>
      </c>
      <c r="C193" t="s">
        <v>49</v>
      </c>
      <c r="D193" s="1" t="s">
        <v>10</v>
      </c>
      <c r="E193">
        <v>2019</v>
      </c>
      <c r="F193" t="s">
        <v>50</v>
      </c>
      <c r="G193" t="s">
        <v>16</v>
      </c>
      <c r="H193" t="s">
        <v>21</v>
      </c>
      <c r="I193" t="str">
        <f t="shared" si="2"/>
        <v>mco_MET_80+_2019_FINESSHCL_PMSI</v>
      </c>
      <c r="J193" t="s">
        <v>26</v>
      </c>
    </row>
    <row r="194" spans="1:10" x14ac:dyDescent="0.35">
      <c r="A194" t="s">
        <v>1</v>
      </c>
      <c r="B194" t="s">
        <v>18</v>
      </c>
      <c r="C194" t="s">
        <v>49</v>
      </c>
      <c r="D194" s="1" t="s">
        <v>10</v>
      </c>
      <c r="E194">
        <v>2020</v>
      </c>
      <c r="F194" t="s">
        <v>50</v>
      </c>
      <c r="G194" t="s">
        <v>15</v>
      </c>
      <c r="H194" t="s">
        <v>21</v>
      </c>
      <c r="I194" t="str">
        <f t="shared" ref="I194:I205" si="3">"mco_"&amp;B194&amp;"_"&amp;D194&amp;"_"&amp;E194&amp;"_"&amp;F194&amp;"_"&amp;G194</f>
        <v>mco_MET_80+_2020_FINESSHCL_DEP</v>
      </c>
      <c r="J194" t="s">
        <v>26</v>
      </c>
    </row>
    <row r="195" spans="1:10" x14ac:dyDescent="0.35">
      <c r="A195" t="s">
        <v>1</v>
      </c>
      <c r="B195" t="s">
        <v>18</v>
      </c>
      <c r="C195" t="s">
        <v>49</v>
      </c>
      <c r="D195" s="1" t="s">
        <v>10</v>
      </c>
      <c r="E195">
        <v>2020</v>
      </c>
      <c r="F195" t="s">
        <v>50</v>
      </c>
      <c r="G195" t="s">
        <v>16</v>
      </c>
      <c r="H195" t="s">
        <v>21</v>
      </c>
      <c r="I195" t="str">
        <f t="shared" si="3"/>
        <v>mco_MET_80+_2020_FINESSHCL_PMSI</v>
      </c>
      <c r="J195" t="s">
        <v>26</v>
      </c>
    </row>
    <row r="196" spans="1:10" x14ac:dyDescent="0.35">
      <c r="A196" t="s">
        <v>1</v>
      </c>
      <c r="B196" t="s">
        <v>18</v>
      </c>
      <c r="C196" t="s">
        <v>49</v>
      </c>
      <c r="D196" s="1" t="s">
        <v>10</v>
      </c>
      <c r="E196">
        <v>2021</v>
      </c>
      <c r="F196" t="s">
        <v>50</v>
      </c>
      <c r="G196" t="s">
        <v>15</v>
      </c>
      <c r="H196" t="s">
        <v>21</v>
      </c>
      <c r="I196" t="str">
        <f t="shared" si="3"/>
        <v>mco_MET_80+_2021_FINESSHCL_DEP</v>
      </c>
      <c r="J196" t="s">
        <v>26</v>
      </c>
    </row>
    <row r="197" spans="1:10" x14ac:dyDescent="0.35">
      <c r="A197" t="s">
        <v>1</v>
      </c>
      <c r="B197" t="s">
        <v>18</v>
      </c>
      <c r="C197" t="s">
        <v>49</v>
      </c>
      <c r="D197" s="1" t="s">
        <v>10</v>
      </c>
      <c r="E197">
        <v>2021</v>
      </c>
      <c r="F197" t="s">
        <v>50</v>
      </c>
      <c r="G197" t="s">
        <v>16</v>
      </c>
      <c r="H197" t="s">
        <v>21</v>
      </c>
      <c r="I197" t="str">
        <f t="shared" si="3"/>
        <v>mco_MET_80+_2021_FINESSHCL_PMSI</v>
      </c>
      <c r="J197" t="s">
        <v>26</v>
      </c>
    </row>
    <row r="198" spans="1:10" x14ac:dyDescent="0.35">
      <c r="A198" t="s">
        <v>1</v>
      </c>
      <c r="B198" t="s">
        <v>18</v>
      </c>
      <c r="C198" t="s">
        <v>49</v>
      </c>
      <c r="D198" s="1" t="s">
        <v>10</v>
      </c>
      <c r="E198">
        <v>2022</v>
      </c>
      <c r="F198" t="s">
        <v>50</v>
      </c>
      <c r="G198" t="s">
        <v>15</v>
      </c>
      <c r="H198" t="s">
        <v>21</v>
      </c>
      <c r="I198" t="str">
        <f t="shared" si="3"/>
        <v>mco_MET_80+_2022_FINESSHCL_DEP</v>
      </c>
      <c r="J198" t="s">
        <v>26</v>
      </c>
    </row>
    <row r="199" spans="1:10" x14ac:dyDescent="0.35">
      <c r="A199" t="s">
        <v>1</v>
      </c>
      <c r="B199" t="s">
        <v>18</v>
      </c>
      <c r="C199" t="s">
        <v>49</v>
      </c>
      <c r="D199" s="1" t="s">
        <v>10</v>
      </c>
      <c r="E199">
        <v>2022</v>
      </c>
      <c r="F199" t="s">
        <v>50</v>
      </c>
      <c r="G199" t="s">
        <v>16</v>
      </c>
      <c r="H199" t="s">
        <v>21</v>
      </c>
      <c r="I199" t="str">
        <f t="shared" si="3"/>
        <v>mco_MET_80+_2022_FINESSHCL_PMSI</v>
      </c>
      <c r="J199" t="s">
        <v>26</v>
      </c>
    </row>
    <row r="200" spans="1:10" x14ac:dyDescent="0.35">
      <c r="A200" t="s">
        <v>1</v>
      </c>
      <c r="B200" t="s">
        <v>18</v>
      </c>
      <c r="C200" t="s">
        <v>49</v>
      </c>
      <c r="D200" s="1" t="s">
        <v>10</v>
      </c>
      <c r="E200">
        <v>2023</v>
      </c>
      <c r="F200" t="s">
        <v>50</v>
      </c>
      <c r="G200" t="s">
        <v>15</v>
      </c>
      <c r="H200" t="s">
        <v>21</v>
      </c>
      <c r="I200" t="str">
        <f t="shared" si="3"/>
        <v>mco_MET_80+_2023_FINESSHCL_DEP</v>
      </c>
      <c r="J200" t="s">
        <v>26</v>
      </c>
    </row>
    <row r="201" spans="1:10" x14ac:dyDescent="0.35">
      <c r="A201" t="s">
        <v>1</v>
      </c>
      <c r="B201" t="s">
        <v>18</v>
      </c>
      <c r="C201" t="s">
        <v>49</v>
      </c>
      <c r="D201" s="1" t="s">
        <v>10</v>
      </c>
      <c r="E201">
        <v>2023</v>
      </c>
      <c r="F201" t="s">
        <v>50</v>
      </c>
      <c r="G201" t="s">
        <v>16</v>
      </c>
      <c r="H201" t="s">
        <v>21</v>
      </c>
      <c r="I201" t="str">
        <f t="shared" si="3"/>
        <v>mco_MET_80+_2023_FINESSHCL_PMSI</v>
      </c>
      <c r="J201" t="s">
        <v>26</v>
      </c>
    </row>
    <row r="202" spans="1:10" x14ac:dyDescent="0.35">
      <c r="A202" t="s">
        <v>1</v>
      </c>
      <c r="B202" t="s">
        <v>18</v>
      </c>
      <c r="C202" t="s">
        <v>49</v>
      </c>
      <c r="D202" s="1" t="s">
        <v>10</v>
      </c>
      <c r="E202">
        <v>2024</v>
      </c>
      <c r="F202" t="s">
        <v>50</v>
      </c>
      <c r="G202" t="s">
        <v>15</v>
      </c>
      <c r="H202" t="s">
        <v>21</v>
      </c>
      <c r="I202" t="str">
        <f t="shared" si="3"/>
        <v>mco_MET_80+_2024_FINESSHCL_DEP</v>
      </c>
      <c r="J202" t="s">
        <v>26</v>
      </c>
    </row>
    <row r="203" spans="1:10" x14ac:dyDescent="0.35">
      <c r="A203" t="s">
        <v>1</v>
      </c>
      <c r="B203" t="s">
        <v>18</v>
      </c>
      <c r="C203" t="s">
        <v>49</v>
      </c>
      <c r="D203" s="1" t="s">
        <v>10</v>
      </c>
      <c r="E203">
        <v>2024</v>
      </c>
      <c r="F203" t="s">
        <v>50</v>
      </c>
      <c r="G203" t="s">
        <v>16</v>
      </c>
      <c r="H203" t="s">
        <v>21</v>
      </c>
      <c r="I203" t="str">
        <f t="shared" si="3"/>
        <v>mco_MET_80+_2024_FINESSHCL_PMSI</v>
      </c>
      <c r="J203" t="s">
        <v>26</v>
      </c>
    </row>
    <row r="204" spans="1:10" x14ac:dyDescent="0.35">
      <c r="A204" t="s">
        <v>1</v>
      </c>
      <c r="B204" t="s">
        <v>18</v>
      </c>
      <c r="C204" t="s">
        <v>49</v>
      </c>
      <c r="D204" s="1" t="s">
        <v>10</v>
      </c>
      <c r="E204">
        <v>2025</v>
      </c>
      <c r="F204" t="s">
        <v>50</v>
      </c>
      <c r="G204" t="s">
        <v>15</v>
      </c>
      <c r="H204" t="s">
        <v>21</v>
      </c>
      <c r="I204" t="str">
        <f t="shared" si="3"/>
        <v>mco_MET_80+_2025_FINESSHCL_DEP</v>
      </c>
      <c r="J204" t="s">
        <v>26</v>
      </c>
    </row>
    <row r="205" spans="1:10" x14ac:dyDescent="0.35">
      <c r="A205" t="s">
        <v>1</v>
      </c>
      <c r="B205" t="s">
        <v>18</v>
      </c>
      <c r="C205" t="s">
        <v>49</v>
      </c>
      <c r="D205" s="1" t="s">
        <v>10</v>
      </c>
      <c r="E205">
        <v>2025</v>
      </c>
      <c r="F205" t="s">
        <v>50</v>
      </c>
      <c r="G205" t="s">
        <v>16</v>
      </c>
      <c r="H205" t="s">
        <v>21</v>
      </c>
      <c r="I205" t="str">
        <f t="shared" si="3"/>
        <v>mco_MET_80+_2025_FINESSHCL_PMSI</v>
      </c>
      <c r="J205" t="s">
        <v>26</v>
      </c>
    </row>
  </sheetData>
  <sortState xmlns:xlrd2="http://schemas.microsoft.com/office/spreadsheetml/2017/richdata2" ref="A2:J205">
    <sortCondition ref="C2:C205"/>
    <sortCondition ref="D2:D205" customList="0-1,2-4,5-17,18-64,65-79,80+"/>
    <sortCondition ref="E2:E205"/>
    <sortCondition ref="G2:G205"/>
  </sortState>
  <phoneticPr fontId="1" type="noConversion"/>
  <conditionalFormatting sqref="E2:E205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C948A-479F-4083-8619-880705BB87E4}">
  <dimension ref="A1:J21"/>
  <sheetViews>
    <sheetView tabSelected="1" workbookViewId="0">
      <selection activeCell="I22" sqref="I22"/>
    </sheetView>
  </sheetViews>
  <sheetFormatPr baseColWidth="10" defaultRowHeight="14.5" x14ac:dyDescent="0.35"/>
  <sheetData>
    <row r="1" spans="1:10" x14ac:dyDescent="0.35">
      <c r="A1" t="s">
        <v>0</v>
      </c>
      <c r="B1" t="s">
        <v>17</v>
      </c>
      <c r="C1" t="s">
        <v>4</v>
      </c>
      <c r="D1" t="s">
        <v>2</v>
      </c>
      <c r="E1" t="s">
        <v>11</v>
      </c>
      <c r="F1" t="s">
        <v>12</v>
      </c>
      <c r="G1" t="s">
        <v>14</v>
      </c>
      <c r="H1" t="s">
        <v>25</v>
      </c>
      <c r="I1" t="s">
        <v>22</v>
      </c>
    </row>
    <row r="2" spans="1:10" x14ac:dyDescent="0.35">
      <c r="A2" t="s">
        <v>1</v>
      </c>
      <c r="B2" t="s">
        <v>18</v>
      </c>
      <c r="C2" t="s">
        <v>5</v>
      </c>
      <c r="D2">
        <v>0</v>
      </c>
      <c r="E2">
        <v>2016</v>
      </c>
      <c r="F2" t="s">
        <v>27</v>
      </c>
      <c r="G2" t="s">
        <v>15</v>
      </c>
      <c r="H2" t="s">
        <v>21</v>
      </c>
      <c r="I2" t="str">
        <f>"mco_"&amp;B2&amp;"_"&amp;D2&amp;"_"&amp;E2&amp;"_"&amp;F2&amp;"_"&amp;G2</f>
        <v>mco_MET_0_2016_ALL_DEP</v>
      </c>
      <c r="J2" t="s">
        <v>26</v>
      </c>
    </row>
    <row r="3" spans="1:10" x14ac:dyDescent="0.35">
      <c r="A3" t="s">
        <v>1</v>
      </c>
      <c r="B3" t="s">
        <v>18</v>
      </c>
      <c r="C3" t="s">
        <v>5</v>
      </c>
      <c r="D3">
        <v>0</v>
      </c>
      <c r="E3">
        <v>2017</v>
      </c>
      <c r="F3" t="s">
        <v>27</v>
      </c>
      <c r="G3" t="s">
        <v>15</v>
      </c>
      <c r="H3" t="s">
        <v>21</v>
      </c>
      <c r="I3" t="str">
        <f>"mco_"&amp;B3&amp;"_"&amp;D3&amp;"_"&amp;E3&amp;"_"&amp;F3&amp;"_"&amp;G3</f>
        <v>mco_MET_0_2017_ALL_DEP</v>
      </c>
      <c r="J3" t="s">
        <v>26</v>
      </c>
    </row>
    <row r="4" spans="1:10" x14ac:dyDescent="0.35">
      <c r="A4" t="s">
        <v>1</v>
      </c>
      <c r="B4" t="s">
        <v>18</v>
      </c>
      <c r="C4" t="s">
        <v>5</v>
      </c>
      <c r="D4">
        <v>0</v>
      </c>
      <c r="E4">
        <v>2018</v>
      </c>
      <c r="F4" t="s">
        <v>27</v>
      </c>
      <c r="G4" t="s">
        <v>15</v>
      </c>
      <c r="H4" t="s">
        <v>21</v>
      </c>
      <c r="I4" t="str">
        <f>"mco_"&amp;B4&amp;"_"&amp;D4&amp;"_"&amp;E4&amp;"_"&amp;F4&amp;"_"&amp;G4</f>
        <v>mco_MET_0_2018_ALL_DEP</v>
      </c>
      <c r="J4" t="s">
        <v>26</v>
      </c>
    </row>
    <row r="5" spans="1:10" x14ac:dyDescent="0.35">
      <c r="A5" t="s">
        <v>1</v>
      </c>
      <c r="B5" t="s">
        <v>18</v>
      </c>
      <c r="C5" t="s">
        <v>5</v>
      </c>
      <c r="D5">
        <v>0</v>
      </c>
      <c r="E5">
        <v>2019</v>
      </c>
      <c r="F5" t="s">
        <v>27</v>
      </c>
      <c r="G5" t="s">
        <v>15</v>
      </c>
      <c r="H5" t="s">
        <v>21</v>
      </c>
      <c r="I5" t="str">
        <f>"mco_"&amp;B5&amp;"_"&amp;D5&amp;"_"&amp;E5&amp;"_"&amp;F5&amp;"_"&amp;G5</f>
        <v>mco_MET_0_2019_ALL_DEP</v>
      </c>
      <c r="J5" t="s">
        <v>26</v>
      </c>
    </row>
    <row r="6" spans="1:10" x14ac:dyDescent="0.35">
      <c r="A6" t="s">
        <v>1</v>
      </c>
      <c r="B6" t="s">
        <v>18</v>
      </c>
      <c r="C6" t="s">
        <v>5</v>
      </c>
      <c r="D6">
        <v>0</v>
      </c>
      <c r="E6">
        <v>2020</v>
      </c>
      <c r="F6" t="s">
        <v>27</v>
      </c>
      <c r="G6" t="s">
        <v>15</v>
      </c>
      <c r="H6" t="s">
        <v>21</v>
      </c>
      <c r="I6" t="str">
        <f>"mco_"&amp;B6&amp;"_"&amp;D6&amp;"_"&amp;E6&amp;"_"&amp;F6&amp;"_"&amp;G6</f>
        <v>mco_MET_0_2020_ALL_DEP</v>
      </c>
      <c r="J6" t="s">
        <v>26</v>
      </c>
    </row>
    <row r="7" spans="1:10" x14ac:dyDescent="0.35">
      <c r="A7" t="s">
        <v>1</v>
      </c>
      <c r="B7" t="s">
        <v>18</v>
      </c>
      <c r="C7" t="s">
        <v>5</v>
      </c>
      <c r="D7">
        <v>0</v>
      </c>
      <c r="E7">
        <v>2021</v>
      </c>
      <c r="F7" t="s">
        <v>27</v>
      </c>
      <c r="G7" t="s">
        <v>15</v>
      </c>
      <c r="H7" t="s">
        <v>21</v>
      </c>
      <c r="I7" t="str">
        <f>"mco_"&amp;B7&amp;"_"&amp;D7&amp;"_"&amp;E7&amp;"_"&amp;F7&amp;"_"&amp;G7</f>
        <v>mco_MET_0_2021_ALL_DEP</v>
      </c>
      <c r="J7" t="s">
        <v>26</v>
      </c>
    </row>
    <row r="8" spans="1:10" x14ac:dyDescent="0.35">
      <c r="A8" t="s">
        <v>1</v>
      </c>
      <c r="B8" t="s">
        <v>18</v>
      </c>
      <c r="C8" t="s">
        <v>5</v>
      </c>
      <c r="D8">
        <v>0</v>
      </c>
      <c r="E8">
        <v>2022</v>
      </c>
      <c r="F8" t="s">
        <v>27</v>
      </c>
      <c r="G8" t="s">
        <v>15</v>
      </c>
      <c r="H8" t="s">
        <v>21</v>
      </c>
      <c r="I8" t="str">
        <f>"mco_"&amp;B8&amp;"_"&amp;D8&amp;"_"&amp;E8&amp;"_"&amp;F8&amp;"_"&amp;G8</f>
        <v>mco_MET_0_2022_ALL_DEP</v>
      </c>
      <c r="J8" t="s">
        <v>26</v>
      </c>
    </row>
    <row r="9" spans="1:10" x14ac:dyDescent="0.35">
      <c r="A9" t="s">
        <v>1</v>
      </c>
      <c r="B9" t="s">
        <v>18</v>
      </c>
      <c r="C9" t="s">
        <v>5</v>
      </c>
      <c r="D9">
        <v>0</v>
      </c>
      <c r="E9">
        <v>2023</v>
      </c>
      <c r="F9" t="s">
        <v>27</v>
      </c>
      <c r="G9" t="s">
        <v>15</v>
      </c>
      <c r="H9" t="s">
        <v>21</v>
      </c>
      <c r="I9" t="str">
        <f>"mco_"&amp;B9&amp;"_"&amp;D9&amp;"_"&amp;E9&amp;"_"&amp;F9&amp;"_"&amp;G9</f>
        <v>mco_MET_0_2023_ALL_DEP</v>
      </c>
      <c r="J9" t="s">
        <v>26</v>
      </c>
    </row>
    <row r="10" spans="1:10" x14ac:dyDescent="0.35">
      <c r="A10" t="s">
        <v>1</v>
      </c>
      <c r="B10" t="s">
        <v>18</v>
      </c>
      <c r="C10" t="s">
        <v>5</v>
      </c>
      <c r="D10">
        <v>0</v>
      </c>
      <c r="E10">
        <v>2024</v>
      </c>
      <c r="F10" t="s">
        <v>27</v>
      </c>
      <c r="G10" t="s">
        <v>15</v>
      </c>
      <c r="H10" t="s">
        <v>21</v>
      </c>
      <c r="I10" t="str">
        <f>"mco_"&amp;B10&amp;"_"&amp;D10&amp;"_"&amp;E10&amp;"_"&amp;F10&amp;"_"&amp;G10</f>
        <v>mco_MET_0_2024_ALL_DEP</v>
      </c>
      <c r="J10" t="s">
        <v>26</v>
      </c>
    </row>
    <row r="11" spans="1:10" x14ac:dyDescent="0.35">
      <c r="A11" t="s">
        <v>1</v>
      </c>
      <c r="B11" t="s">
        <v>18</v>
      </c>
      <c r="C11" t="s">
        <v>5</v>
      </c>
      <c r="D11">
        <v>0</v>
      </c>
      <c r="E11">
        <v>2025</v>
      </c>
      <c r="F11" t="s">
        <v>27</v>
      </c>
      <c r="G11" t="s">
        <v>15</v>
      </c>
      <c r="H11" t="s">
        <v>21</v>
      </c>
      <c r="I11" t="str">
        <f>"mco_"&amp;B11&amp;"_"&amp;D11&amp;"_"&amp;E11&amp;"_"&amp;F11&amp;"_"&amp;G11</f>
        <v>mco_MET_0_2025_ALL_DEP</v>
      </c>
      <c r="J11" t="s">
        <v>26</v>
      </c>
    </row>
    <row r="12" spans="1:10" x14ac:dyDescent="0.35">
      <c r="A12" t="s">
        <v>1</v>
      </c>
      <c r="B12" t="s">
        <v>18</v>
      </c>
      <c r="C12" t="s">
        <v>49</v>
      </c>
      <c r="D12">
        <v>0</v>
      </c>
      <c r="E12">
        <v>2016</v>
      </c>
      <c r="F12" t="s">
        <v>50</v>
      </c>
      <c r="G12" t="s">
        <v>15</v>
      </c>
      <c r="H12" t="s">
        <v>21</v>
      </c>
      <c r="I12" t="str">
        <f>"mco_"&amp;B12&amp;"_"&amp;D12&amp;"_"&amp;E12&amp;"_"&amp;F12&amp;"_"&amp;G12</f>
        <v>mco_MET_0_2016_FINESSHCL_DEP</v>
      </c>
      <c r="J12" t="s">
        <v>26</v>
      </c>
    </row>
    <row r="13" spans="1:10" x14ac:dyDescent="0.35">
      <c r="A13" t="s">
        <v>1</v>
      </c>
      <c r="B13" t="s">
        <v>18</v>
      </c>
      <c r="C13" t="s">
        <v>49</v>
      </c>
      <c r="D13">
        <v>0</v>
      </c>
      <c r="E13">
        <v>2017</v>
      </c>
      <c r="F13" t="s">
        <v>50</v>
      </c>
      <c r="G13" t="s">
        <v>15</v>
      </c>
      <c r="H13" t="s">
        <v>21</v>
      </c>
      <c r="I13" t="str">
        <f>"mco_"&amp;B13&amp;"_"&amp;D13&amp;"_"&amp;E13&amp;"_"&amp;F13&amp;"_"&amp;G13</f>
        <v>mco_MET_0_2017_FINESSHCL_DEP</v>
      </c>
      <c r="J13" t="s">
        <v>26</v>
      </c>
    </row>
    <row r="14" spans="1:10" x14ac:dyDescent="0.35">
      <c r="A14" t="s">
        <v>1</v>
      </c>
      <c r="B14" t="s">
        <v>18</v>
      </c>
      <c r="C14" t="s">
        <v>49</v>
      </c>
      <c r="D14">
        <v>0</v>
      </c>
      <c r="E14">
        <v>2018</v>
      </c>
      <c r="F14" t="s">
        <v>50</v>
      </c>
      <c r="G14" t="s">
        <v>15</v>
      </c>
      <c r="H14" t="s">
        <v>21</v>
      </c>
      <c r="I14" t="str">
        <f>"mco_"&amp;B14&amp;"_"&amp;D14&amp;"_"&amp;E14&amp;"_"&amp;F14&amp;"_"&amp;G14</f>
        <v>mco_MET_0_2018_FINESSHCL_DEP</v>
      </c>
      <c r="J14" t="s">
        <v>26</v>
      </c>
    </row>
    <row r="15" spans="1:10" x14ac:dyDescent="0.35">
      <c r="A15" t="s">
        <v>1</v>
      </c>
      <c r="B15" t="s">
        <v>18</v>
      </c>
      <c r="C15" t="s">
        <v>49</v>
      </c>
      <c r="D15">
        <v>0</v>
      </c>
      <c r="E15">
        <v>2019</v>
      </c>
      <c r="F15" t="s">
        <v>50</v>
      </c>
      <c r="G15" t="s">
        <v>15</v>
      </c>
      <c r="H15" t="s">
        <v>21</v>
      </c>
      <c r="I15" t="str">
        <f>"mco_"&amp;B15&amp;"_"&amp;D15&amp;"_"&amp;E15&amp;"_"&amp;F15&amp;"_"&amp;G15</f>
        <v>mco_MET_0_2019_FINESSHCL_DEP</v>
      </c>
      <c r="J15" t="s">
        <v>26</v>
      </c>
    </row>
    <row r="16" spans="1:10" x14ac:dyDescent="0.35">
      <c r="A16" t="s">
        <v>1</v>
      </c>
      <c r="B16" t="s">
        <v>18</v>
      </c>
      <c r="C16" t="s">
        <v>49</v>
      </c>
      <c r="D16">
        <v>0</v>
      </c>
      <c r="E16">
        <v>2020</v>
      </c>
      <c r="F16" t="s">
        <v>50</v>
      </c>
      <c r="G16" t="s">
        <v>15</v>
      </c>
      <c r="H16" t="s">
        <v>21</v>
      </c>
      <c r="I16" t="str">
        <f>"mco_"&amp;B16&amp;"_"&amp;D16&amp;"_"&amp;E16&amp;"_"&amp;F16&amp;"_"&amp;G16</f>
        <v>mco_MET_0_2020_FINESSHCL_DEP</v>
      </c>
      <c r="J16" t="s">
        <v>26</v>
      </c>
    </row>
    <row r="17" spans="1:10" x14ac:dyDescent="0.35">
      <c r="A17" t="s">
        <v>1</v>
      </c>
      <c r="B17" t="s">
        <v>18</v>
      </c>
      <c r="C17" t="s">
        <v>49</v>
      </c>
      <c r="D17">
        <v>0</v>
      </c>
      <c r="E17">
        <v>2021</v>
      </c>
      <c r="F17" t="s">
        <v>50</v>
      </c>
      <c r="G17" t="s">
        <v>15</v>
      </c>
      <c r="H17" t="s">
        <v>21</v>
      </c>
      <c r="I17" t="str">
        <f>"mco_"&amp;B17&amp;"_"&amp;D17&amp;"_"&amp;E17&amp;"_"&amp;F17&amp;"_"&amp;G17</f>
        <v>mco_MET_0_2021_FINESSHCL_DEP</v>
      </c>
      <c r="J17" t="s">
        <v>26</v>
      </c>
    </row>
    <row r="18" spans="1:10" x14ac:dyDescent="0.35">
      <c r="A18" t="s">
        <v>1</v>
      </c>
      <c r="B18" t="s">
        <v>18</v>
      </c>
      <c r="C18" t="s">
        <v>49</v>
      </c>
      <c r="D18">
        <v>0</v>
      </c>
      <c r="E18">
        <v>2022</v>
      </c>
      <c r="F18" t="s">
        <v>50</v>
      </c>
      <c r="G18" t="s">
        <v>15</v>
      </c>
      <c r="H18" t="s">
        <v>21</v>
      </c>
      <c r="I18" t="str">
        <f>"mco_"&amp;B18&amp;"_"&amp;D18&amp;"_"&amp;E18&amp;"_"&amp;F18&amp;"_"&amp;G18</f>
        <v>mco_MET_0_2022_FINESSHCL_DEP</v>
      </c>
      <c r="J18" t="s">
        <v>26</v>
      </c>
    </row>
    <row r="19" spans="1:10" x14ac:dyDescent="0.35">
      <c r="A19" t="s">
        <v>1</v>
      </c>
      <c r="B19" t="s">
        <v>18</v>
      </c>
      <c r="C19" t="s">
        <v>49</v>
      </c>
      <c r="D19">
        <v>0</v>
      </c>
      <c r="E19">
        <v>2023</v>
      </c>
      <c r="F19" t="s">
        <v>50</v>
      </c>
      <c r="G19" t="s">
        <v>15</v>
      </c>
      <c r="H19" t="s">
        <v>21</v>
      </c>
      <c r="I19" t="str">
        <f>"mco_"&amp;B19&amp;"_"&amp;D19&amp;"_"&amp;E19&amp;"_"&amp;F19&amp;"_"&amp;G19</f>
        <v>mco_MET_0_2023_FINESSHCL_DEP</v>
      </c>
      <c r="J19" t="s">
        <v>26</v>
      </c>
    </row>
    <row r="20" spans="1:10" x14ac:dyDescent="0.35">
      <c r="A20" t="s">
        <v>1</v>
      </c>
      <c r="B20" t="s">
        <v>18</v>
      </c>
      <c r="C20" t="s">
        <v>49</v>
      </c>
      <c r="D20">
        <v>0</v>
      </c>
      <c r="E20">
        <v>2024</v>
      </c>
      <c r="F20" t="s">
        <v>50</v>
      </c>
      <c r="G20" t="s">
        <v>15</v>
      </c>
      <c r="H20" t="s">
        <v>21</v>
      </c>
      <c r="I20" t="str">
        <f>"mco_"&amp;B20&amp;"_"&amp;D20&amp;"_"&amp;E20&amp;"_"&amp;F20&amp;"_"&amp;G20</f>
        <v>mco_MET_0_2024_FINESSHCL_DEP</v>
      </c>
      <c r="J20" t="s">
        <v>26</v>
      </c>
    </row>
    <row r="21" spans="1:10" x14ac:dyDescent="0.35">
      <c r="A21" t="s">
        <v>1</v>
      </c>
      <c r="B21" t="s">
        <v>18</v>
      </c>
      <c r="C21" t="s">
        <v>49</v>
      </c>
      <c r="D21">
        <v>0</v>
      </c>
      <c r="E21">
        <v>2025</v>
      </c>
      <c r="F21" t="s">
        <v>50</v>
      </c>
      <c r="G21" t="s">
        <v>15</v>
      </c>
      <c r="H21" t="s">
        <v>21</v>
      </c>
      <c r="I21" t="str">
        <f>"mco_"&amp;B21&amp;"_"&amp;D21&amp;"_"&amp;E21&amp;"_"&amp;F21&amp;"_"&amp;G21</f>
        <v>mco_MET_0_2025_FINESSHCL_DEP</v>
      </c>
      <c r="J21" t="s">
        <v>26</v>
      </c>
    </row>
  </sheetData>
  <sortState xmlns:xlrd2="http://schemas.microsoft.com/office/spreadsheetml/2017/richdata2" ref="A2:J35">
    <sortCondition ref="G2:G35"/>
  </sortState>
  <conditionalFormatting sqref="E2:E35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27FDE-5A62-4F8E-B3D0-329E40DC041A}">
  <dimension ref="A1:J21"/>
  <sheetViews>
    <sheetView topLeftCell="A7" workbookViewId="0">
      <selection activeCell="I25" sqref="I25"/>
    </sheetView>
  </sheetViews>
  <sheetFormatPr baseColWidth="10" defaultRowHeight="14.5" x14ac:dyDescent="0.35"/>
  <sheetData>
    <row r="1" spans="1:10" x14ac:dyDescent="0.35">
      <c r="A1" t="s">
        <v>0</v>
      </c>
      <c r="B1" t="s">
        <v>17</v>
      </c>
      <c r="C1" t="s">
        <v>4</v>
      </c>
      <c r="D1" t="s">
        <v>2</v>
      </c>
      <c r="E1" t="s">
        <v>11</v>
      </c>
      <c r="F1" t="s">
        <v>12</v>
      </c>
      <c r="G1" t="s">
        <v>14</v>
      </c>
      <c r="H1" t="s">
        <v>25</v>
      </c>
      <c r="I1" t="s">
        <v>22</v>
      </c>
    </row>
    <row r="2" spans="1:10" x14ac:dyDescent="0.35">
      <c r="A2" t="s">
        <v>1</v>
      </c>
      <c r="B2" t="s">
        <v>18</v>
      </c>
      <c r="C2" t="s">
        <v>49</v>
      </c>
      <c r="D2" t="s">
        <v>5</v>
      </c>
      <c r="E2">
        <v>2016</v>
      </c>
      <c r="F2" t="s">
        <v>27</v>
      </c>
      <c r="G2" t="s">
        <v>20</v>
      </c>
      <c r="H2" t="s">
        <v>21</v>
      </c>
      <c r="I2" t="str">
        <f>"mco_"&amp;B2&amp;"_"&amp;C2&amp;"_"&amp;E2&amp;"_"&amp;G2</f>
        <v>mco_MET_HCL_2016_REG</v>
      </c>
      <c r="J2" t="s">
        <v>26</v>
      </c>
    </row>
    <row r="3" spans="1:10" x14ac:dyDescent="0.35">
      <c r="A3" t="s">
        <v>1</v>
      </c>
      <c r="B3" t="s">
        <v>18</v>
      </c>
      <c r="C3" t="s">
        <v>49</v>
      </c>
      <c r="D3" t="s">
        <v>5</v>
      </c>
      <c r="E3">
        <v>2017</v>
      </c>
      <c r="F3" t="s">
        <v>27</v>
      </c>
      <c r="G3" t="s">
        <v>20</v>
      </c>
      <c r="H3" t="s">
        <v>21</v>
      </c>
      <c r="I3" t="str">
        <f t="shared" ref="I3:I11" si="0">"mco_"&amp;B3&amp;"_"&amp;C3&amp;"_"&amp;E3&amp;"_"&amp;G3</f>
        <v>mco_MET_HCL_2017_REG</v>
      </c>
      <c r="J3" t="s">
        <v>26</v>
      </c>
    </row>
    <row r="4" spans="1:10" x14ac:dyDescent="0.35">
      <c r="A4" t="s">
        <v>1</v>
      </c>
      <c r="B4" t="s">
        <v>18</v>
      </c>
      <c r="C4" t="s">
        <v>49</v>
      </c>
      <c r="D4" t="s">
        <v>5</v>
      </c>
      <c r="E4">
        <v>2018</v>
      </c>
      <c r="F4" t="s">
        <v>27</v>
      </c>
      <c r="G4" t="s">
        <v>20</v>
      </c>
      <c r="H4" t="s">
        <v>21</v>
      </c>
      <c r="I4" t="str">
        <f t="shared" si="0"/>
        <v>mco_MET_HCL_2018_REG</v>
      </c>
      <c r="J4" t="s">
        <v>26</v>
      </c>
    </row>
    <row r="5" spans="1:10" x14ac:dyDescent="0.35">
      <c r="A5" t="s">
        <v>1</v>
      </c>
      <c r="B5" t="s">
        <v>18</v>
      </c>
      <c r="C5" t="s">
        <v>49</v>
      </c>
      <c r="D5" t="s">
        <v>5</v>
      </c>
      <c r="E5">
        <v>2019</v>
      </c>
      <c r="F5" t="s">
        <v>27</v>
      </c>
      <c r="G5" t="s">
        <v>20</v>
      </c>
      <c r="H5" t="s">
        <v>21</v>
      </c>
      <c r="I5" t="str">
        <f t="shared" si="0"/>
        <v>mco_MET_HCL_2019_REG</v>
      </c>
      <c r="J5" t="s">
        <v>26</v>
      </c>
    </row>
    <row r="6" spans="1:10" x14ac:dyDescent="0.35">
      <c r="A6" t="s">
        <v>1</v>
      </c>
      <c r="B6" t="s">
        <v>18</v>
      </c>
      <c r="C6" t="s">
        <v>49</v>
      </c>
      <c r="D6" t="s">
        <v>5</v>
      </c>
      <c r="E6">
        <v>2020</v>
      </c>
      <c r="F6" t="s">
        <v>27</v>
      </c>
      <c r="G6" t="s">
        <v>20</v>
      </c>
      <c r="H6" t="s">
        <v>21</v>
      </c>
      <c r="I6" t="str">
        <f t="shared" si="0"/>
        <v>mco_MET_HCL_2020_REG</v>
      </c>
      <c r="J6" t="s">
        <v>26</v>
      </c>
    </row>
    <row r="7" spans="1:10" x14ac:dyDescent="0.35">
      <c r="A7" t="s">
        <v>1</v>
      </c>
      <c r="B7" t="s">
        <v>18</v>
      </c>
      <c r="C7" t="s">
        <v>49</v>
      </c>
      <c r="D7" t="s">
        <v>5</v>
      </c>
      <c r="E7">
        <v>2021</v>
      </c>
      <c r="F7" t="s">
        <v>27</v>
      </c>
      <c r="G7" t="s">
        <v>20</v>
      </c>
      <c r="H7" t="s">
        <v>21</v>
      </c>
      <c r="I7" t="str">
        <f t="shared" si="0"/>
        <v>mco_MET_HCL_2021_REG</v>
      </c>
      <c r="J7" t="s">
        <v>26</v>
      </c>
    </row>
    <row r="8" spans="1:10" x14ac:dyDescent="0.35">
      <c r="A8" t="s">
        <v>1</v>
      </c>
      <c r="B8" t="s">
        <v>18</v>
      </c>
      <c r="C8" t="s">
        <v>49</v>
      </c>
      <c r="D8" t="s">
        <v>5</v>
      </c>
      <c r="E8">
        <v>2022</v>
      </c>
      <c r="F8" t="s">
        <v>27</v>
      </c>
      <c r="G8" t="s">
        <v>20</v>
      </c>
      <c r="H8" t="s">
        <v>21</v>
      </c>
      <c r="I8" t="str">
        <f t="shared" si="0"/>
        <v>mco_MET_HCL_2022_REG</v>
      </c>
      <c r="J8" t="s">
        <v>26</v>
      </c>
    </row>
    <row r="9" spans="1:10" x14ac:dyDescent="0.35">
      <c r="A9" t="s">
        <v>1</v>
      </c>
      <c r="B9" t="s">
        <v>18</v>
      </c>
      <c r="C9" t="s">
        <v>49</v>
      </c>
      <c r="D9" t="s">
        <v>5</v>
      </c>
      <c r="E9">
        <v>2023</v>
      </c>
      <c r="F9" t="s">
        <v>27</v>
      </c>
      <c r="G9" t="s">
        <v>20</v>
      </c>
      <c r="H9" t="s">
        <v>21</v>
      </c>
      <c r="I9" t="str">
        <f t="shared" si="0"/>
        <v>mco_MET_HCL_2023_REG</v>
      </c>
      <c r="J9" t="s">
        <v>26</v>
      </c>
    </row>
    <row r="10" spans="1:10" x14ac:dyDescent="0.35">
      <c r="A10" t="s">
        <v>1</v>
      </c>
      <c r="B10" t="s">
        <v>18</v>
      </c>
      <c r="C10" t="s">
        <v>49</v>
      </c>
      <c r="D10" t="s">
        <v>5</v>
      </c>
      <c r="E10">
        <v>2024</v>
      </c>
      <c r="F10" t="s">
        <v>27</v>
      </c>
      <c r="G10" t="s">
        <v>20</v>
      </c>
      <c r="H10" t="s">
        <v>21</v>
      </c>
      <c r="I10" t="str">
        <f t="shared" si="0"/>
        <v>mco_MET_HCL_2024_REG</v>
      </c>
      <c r="J10" t="s">
        <v>26</v>
      </c>
    </row>
    <row r="11" spans="1:10" x14ac:dyDescent="0.35">
      <c r="A11" t="s">
        <v>1</v>
      </c>
      <c r="B11" t="s">
        <v>18</v>
      </c>
      <c r="C11" t="s">
        <v>49</v>
      </c>
      <c r="D11" t="s">
        <v>5</v>
      </c>
      <c r="E11">
        <v>2025</v>
      </c>
      <c r="F11" t="s">
        <v>27</v>
      </c>
      <c r="G11" t="s">
        <v>20</v>
      </c>
      <c r="H11" t="s">
        <v>21</v>
      </c>
      <c r="I11" t="str">
        <f t="shared" si="0"/>
        <v>mco_MET_HCL_2025_REG</v>
      </c>
      <c r="J11" t="s">
        <v>26</v>
      </c>
    </row>
    <row r="12" spans="1:10" x14ac:dyDescent="0.35">
      <c r="A12" t="s">
        <v>1</v>
      </c>
      <c r="B12" t="s">
        <v>18</v>
      </c>
      <c r="C12" t="s">
        <v>49</v>
      </c>
      <c r="D12" t="s">
        <v>5</v>
      </c>
      <c r="E12">
        <v>2016</v>
      </c>
      <c r="F12" t="s">
        <v>27</v>
      </c>
      <c r="G12" t="s">
        <v>20</v>
      </c>
      <c r="H12" t="s">
        <v>2</v>
      </c>
      <c r="I12" t="str">
        <f>"mco_"&amp;B12&amp;"_"&amp;C12&amp;"_"&amp;E12&amp;"_"&amp;G12&amp;" "&amp;H12</f>
        <v>mco_MET_HCL_2016_REG Age</v>
      </c>
      <c r="J12" t="s">
        <v>26</v>
      </c>
    </row>
    <row r="13" spans="1:10" x14ac:dyDescent="0.35">
      <c r="A13" t="s">
        <v>1</v>
      </c>
      <c r="B13" t="s">
        <v>18</v>
      </c>
      <c r="C13" t="s">
        <v>49</v>
      </c>
      <c r="D13" t="s">
        <v>5</v>
      </c>
      <c r="E13">
        <v>2017</v>
      </c>
      <c r="F13" t="s">
        <v>27</v>
      </c>
      <c r="G13" t="s">
        <v>20</v>
      </c>
      <c r="H13" t="s">
        <v>2</v>
      </c>
      <c r="I13" t="str">
        <f t="shared" ref="I13:I21" si="1">"mco_"&amp;B13&amp;"_"&amp;C13&amp;"_"&amp;E13&amp;"_"&amp;G13&amp;" "&amp;H13</f>
        <v>mco_MET_HCL_2017_REG Age</v>
      </c>
      <c r="J13" t="s">
        <v>26</v>
      </c>
    </row>
    <row r="14" spans="1:10" x14ac:dyDescent="0.35">
      <c r="A14" t="s">
        <v>1</v>
      </c>
      <c r="B14" t="s">
        <v>18</v>
      </c>
      <c r="C14" t="s">
        <v>49</v>
      </c>
      <c r="D14" t="s">
        <v>5</v>
      </c>
      <c r="E14">
        <v>2018</v>
      </c>
      <c r="F14" t="s">
        <v>27</v>
      </c>
      <c r="G14" t="s">
        <v>20</v>
      </c>
      <c r="H14" t="s">
        <v>2</v>
      </c>
      <c r="I14" t="str">
        <f t="shared" si="1"/>
        <v>mco_MET_HCL_2018_REG Age</v>
      </c>
      <c r="J14" t="s">
        <v>26</v>
      </c>
    </row>
    <row r="15" spans="1:10" x14ac:dyDescent="0.35">
      <c r="A15" t="s">
        <v>1</v>
      </c>
      <c r="B15" t="s">
        <v>18</v>
      </c>
      <c r="C15" t="s">
        <v>49</v>
      </c>
      <c r="D15" t="s">
        <v>5</v>
      </c>
      <c r="E15">
        <v>2019</v>
      </c>
      <c r="F15" t="s">
        <v>27</v>
      </c>
      <c r="G15" t="s">
        <v>20</v>
      </c>
      <c r="H15" t="s">
        <v>2</v>
      </c>
      <c r="I15" t="str">
        <f t="shared" si="1"/>
        <v>mco_MET_HCL_2019_REG Age</v>
      </c>
      <c r="J15" t="s">
        <v>26</v>
      </c>
    </row>
    <row r="16" spans="1:10" x14ac:dyDescent="0.35">
      <c r="A16" t="s">
        <v>1</v>
      </c>
      <c r="B16" t="s">
        <v>18</v>
      </c>
      <c r="C16" t="s">
        <v>49</v>
      </c>
      <c r="D16" t="s">
        <v>5</v>
      </c>
      <c r="E16">
        <v>2020</v>
      </c>
      <c r="F16" t="s">
        <v>27</v>
      </c>
      <c r="G16" t="s">
        <v>20</v>
      </c>
      <c r="H16" t="s">
        <v>2</v>
      </c>
      <c r="I16" t="str">
        <f t="shared" si="1"/>
        <v>mco_MET_HCL_2020_REG Age</v>
      </c>
      <c r="J16" t="s">
        <v>26</v>
      </c>
    </row>
    <row r="17" spans="1:10" x14ac:dyDescent="0.35">
      <c r="A17" t="s">
        <v>1</v>
      </c>
      <c r="B17" t="s">
        <v>18</v>
      </c>
      <c r="C17" t="s">
        <v>49</v>
      </c>
      <c r="D17" t="s">
        <v>5</v>
      </c>
      <c r="E17">
        <v>2021</v>
      </c>
      <c r="F17" t="s">
        <v>27</v>
      </c>
      <c r="G17" t="s">
        <v>20</v>
      </c>
      <c r="H17" t="s">
        <v>2</v>
      </c>
      <c r="I17" t="str">
        <f t="shared" si="1"/>
        <v>mco_MET_HCL_2021_REG Age</v>
      </c>
      <c r="J17" t="s">
        <v>26</v>
      </c>
    </row>
    <row r="18" spans="1:10" x14ac:dyDescent="0.35">
      <c r="A18" t="s">
        <v>1</v>
      </c>
      <c r="B18" t="s">
        <v>18</v>
      </c>
      <c r="C18" t="s">
        <v>49</v>
      </c>
      <c r="D18" t="s">
        <v>5</v>
      </c>
      <c r="E18">
        <v>2022</v>
      </c>
      <c r="F18" t="s">
        <v>27</v>
      </c>
      <c r="G18" t="s">
        <v>20</v>
      </c>
      <c r="H18" t="s">
        <v>2</v>
      </c>
      <c r="I18" t="str">
        <f t="shared" si="1"/>
        <v>mco_MET_HCL_2022_REG Age</v>
      </c>
      <c r="J18" t="s">
        <v>26</v>
      </c>
    </row>
    <row r="19" spans="1:10" x14ac:dyDescent="0.35">
      <c r="A19" t="s">
        <v>1</v>
      </c>
      <c r="B19" t="s">
        <v>18</v>
      </c>
      <c r="C19" t="s">
        <v>49</v>
      </c>
      <c r="D19" t="s">
        <v>5</v>
      </c>
      <c r="E19">
        <v>2023</v>
      </c>
      <c r="F19" t="s">
        <v>27</v>
      </c>
      <c r="G19" t="s">
        <v>20</v>
      </c>
      <c r="H19" t="s">
        <v>2</v>
      </c>
      <c r="I19" t="str">
        <f t="shared" si="1"/>
        <v>mco_MET_HCL_2023_REG Age</v>
      </c>
      <c r="J19" t="s">
        <v>26</v>
      </c>
    </row>
    <row r="20" spans="1:10" x14ac:dyDescent="0.35">
      <c r="A20" t="s">
        <v>1</v>
      </c>
      <c r="B20" t="s">
        <v>18</v>
      </c>
      <c r="C20" t="s">
        <v>49</v>
      </c>
      <c r="D20" t="s">
        <v>5</v>
      </c>
      <c r="E20">
        <v>2024</v>
      </c>
      <c r="F20" t="s">
        <v>27</v>
      </c>
      <c r="G20" t="s">
        <v>20</v>
      </c>
      <c r="H20" t="s">
        <v>2</v>
      </c>
      <c r="I20" t="str">
        <f t="shared" si="1"/>
        <v>mco_MET_HCL_2024_REG Age</v>
      </c>
      <c r="J20" t="s">
        <v>26</v>
      </c>
    </row>
    <row r="21" spans="1:10" x14ac:dyDescent="0.35">
      <c r="A21" t="s">
        <v>1</v>
      </c>
      <c r="B21" t="s">
        <v>18</v>
      </c>
      <c r="C21" t="s">
        <v>49</v>
      </c>
      <c r="D21" t="s">
        <v>5</v>
      </c>
      <c r="E21">
        <v>2025</v>
      </c>
      <c r="F21" t="s">
        <v>27</v>
      </c>
      <c r="G21" t="s">
        <v>20</v>
      </c>
      <c r="H21" t="s">
        <v>2</v>
      </c>
      <c r="I21" t="str">
        <f t="shared" si="1"/>
        <v>mco_MET_HCL_2025_REG Age</v>
      </c>
      <c r="J21" t="s">
        <v>26</v>
      </c>
    </row>
  </sheetData>
  <conditionalFormatting sqref="E2:E21"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2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FINESS</vt:lpstr>
      <vt:lpstr>Geo</vt:lpstr>
      <vt:lpstr>DiagCat</vt:lpstr>
      <vt:lpstr>FIRESP ages</vt:lpstr>
      <vt:lpstr>FIRESP zero</vt:lpstr>
      <vt:lpstr>RegHCL</vt:lpstr>
    </vt:vector>
  </TitlesOfParts>
  <Company>Hospices Civils de Lyon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SHIRREFF, Ext-George</dc:creator>
  <cp:lastModifiedBy>SHIRREFF, Ext-George</cp:lastModifiedBy>
  <dcterms:created xsi:type="dcterms:W3CDTF">2026-02-10T14:03:46Z</dcterms:created>
  <dcterms:modified xsi:type="dcterms:W3CDTF">2026-04-13T15:17:21Z</dcterms:modified>
</cp:coreProperties>
</file>